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65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Sheet3!$B:$B</definedName>
  </definedNames>
  <calcPr calcId="144525"/>
</workbook>
</file>

<file path=xl/sharedStrings.xml><?xml version="1.0" encoding="utf-8"?>
<sst xmlns="http://schemas.openxmlformats.org/spreadsheetml/2006/main" count="1062" uniqueCount="22">
  <si>
    <t>SCR</t>
  </si>
  <si>
    <t>PV_roof</t>
  </si>
  <si>
    <t>BAT+PV_roof</t>
  </si>
  <si>
    <t>EV+PV_roof</t>
  </si>
  <si>
    <t>PV_roof&amp;public</t>
  </si>
  <si>
    <t>BAT+PV_roof&amp;public</t>
  </si>
  <si>
    <t>EV+PV_roof&amp;public</t>
  </si>
  <si>
    <t>SSR</t>
  </si>
  <si>
    <t>area_ID</t>
  </si>
  <si>
    <t>urban_rural</t>
  </si>
  <si>
    <t>城区</t>
  </si>
  <si>
    <t>最大值</t>
  </si>
  <si>
    <t>最小值</t>
  </si>
  <si>
    <t>平均值</t>
  </si>
  <si>
    <t>中位数</t>
  </si>
  <si>
    <t>正值数量</t>
  </si>
  <si>
    <t>正值百分比</t>
  </si>
  <si>
    <t>负值数量</t>
  </si>
  <si>
    <t>负值百分比</t>
  </si>
  <si>
    <t>郊区</t>
  </si>
  <si>
    <r>
      <t>在城区的各个交通小区中，在仅铺设屋顶光伏的场景中，</t>
    </r>
    <r>
      <rPr>
        <sz val="11.5"/>
        <color theme="1"/>
        <rFont val="Segoe UI"/>
        <charset val="134"/>
      </rPr>
      <t>static BESS</t>
    </r>
    <r>
      <rPr>
        <sz val="11.5"/>
        <color theme="1"/>
        <rFont val="宋体"/>
        <charset val="134"/>
      </rPr>
      <t>场景的</t>
    </r>
    <r>
      <rPr>
        <sz val="11.5"/>
        <color theme="1"/>
        <rFont val="Segoe UI"/>
        <charset val="134"/>
      </rPr>
      <t>SCR</t>
    </r>
    <r>
      <rPr>
        <sz val="11.5"/>
        <color theme="1"/>
        <rFont val="宋体"/>
        <charset val="134"/>
      </rPr>
      <t>相较于BIPV场景的提升率平均为2.9</t>
    </r>
    <r>
      <rPr>
        <sz val="11.5"/>
        <color theme="1"/>
        <rFont val="Segoe UI"/>
        <charset val="134"/>
      </rPr>
      <t>%</t>
    </r>
    <r>
      <rPr>
        <sz val="11.5"/>
        <color theme="1"/>
        <rFont val="宋体"/>
        <charset val="134"/>
      </rPr>
      <t>，最高为6.7%，而加入公共区域光伏后，由于部分交通小区光伏消纳情况不佳，SCR提升率平均值为2.4%，最高值为6.0%。</t>
    </r>
    <r>
      <rPr>
        <sz val="11.5"/>
        <color theme="1"/>
        <rFont val="Segoe UI"/>
        <charset val="134"/>
      </rPr>
      <t>V2G</t>
    </r>
    <r>
      <rPr>
        <sz val="11.5"/>
        <color theme="1"/>
        <rFont val="宋体"/>
        <charset val="134"/>
      </rPr>
      <t>场景在仅铺设屋顶光伏的场景的SCR提升率率平均为4.6</t>
    </r>
    <r>
      <rPr>
        <sz val="11.5"/>
        <color theme="1"/>
        <rFont val="Segoe UI"/>
        <charset val="134"/>
      </rPr>
      <t>%</t>
    </r>
    <r>
      <rPr>
        <sz val="11.5"/>
        <color theme="1"/>
        <rFont val="宋体"/>
        <charset val="134"/>
      </rPr>
      <t>，最高值为48.2%，远高于static BESS场景，而增加公共区域光伏以后，SCR增长率的最高值更是提升到了89.7%。在郊区的各个交通小区中，在仅铺设屋顶光伏的场景中，static BESS场景的SCR相较于BIPV场景的上升率平均为2.1</t>
    </r>
    <r>
      <rPr>
        <sz val="11.5"/>
        <color theme="1"/>
        <rFont val="Segoe UI"/>
        <charset val="134"/>
      </rPr>
      <t>%</t>
    </r>
    <r>
      <rPr>
        <sz val="11.5"/>
        <color theme="1"/>
        <rFont val="宋体"/>
        <charset val="134"/>
      </rPr>
      <t>，最高值为6.8%，同样，加入公共区域光伏后，SCR提升率平均值为1.7%，最高值为6.6%。而</t>
    </r>
    <r>
      <rPr>
        <sz val="11.5"/>
        <color theme="1"/>
        <rFont val="Segoe UI"/>
        <charset val="134"/>
      </rPr>
      <t>V2G</t>
    </r>
    <r>
      <rPr>
        <sz val="11.5"/>
        <color theme="1"/>
        <rFont val="宋体"/>
        <charset val="134"/>
      </rPr>
      <t>场景的SCR提升率率平均为7.8</t>
    </r>
    <r>
      <rPr>
        <sz val="11.5"/>
        <color theme="1"/>
        <rFont val="Segoe UI"/>
        <charset val="134"/>
      </rPr>
      <t>%</t>
    </r>
    <r>
      <rPr>
        <sz val="11.5"/>
        <color theme="1"/>
        <rFont val="宋体"/>
        <charset val="134"/>
      </rPr>
      <t>，最高值为85.0%（仅屋顶光伏）。在同时使用屋顶光伏与公共区域光伏的场景中，V2G场景的SCR提升率率平均为9.2%，最高值为96.2%，相较static BESS场景有了巨大的提升。</t>
    </r>
  </si>
  <si>
    <t>在城区的各个交通小区中，在仅铺设屋顶光伏的场景中，static BESS场景的SSR相较于BIPV场景的提升率平均为1.8%，最高为2.9%，而加入公共区域光伏后，SSR提升率平均值依旧为1.8%，最高值为2.9%。V2G场景在仅铺设屋顶光伏的场景的SSR提升率率平均为3.4%，最高值为73.0%，远高于static BESS场景，而增加公共区域光伏以后，SSR增长率的最高值更是提升到了90.4%。在郊区的各个交通小区中，在仅铺设屋顶光伏的场景中，static BESS场景的SSR相较于BIPV场景的上升率平均为1.6%，最高值为3.0%，同样，加入公共区域光伏后，SSR提升率平均值仅为1.5%，最高值为2.9%。而V2G场景的SSR提升率率平均为6.7%，最高值为59.5%（仅屋顶光伏）。在同时使用屋顶光伏与公共区域光伏的场景中，V2G场景的SSR提升率率平均为14.0%，最高值为153.7%，相较static BESS场景有了巨大的提升。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</si>
</sst>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.5"/>
      <color theme="1"/>
      <name val="宋体"/>
      <charset val="134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.5"/>
      <color theme="1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R22" sqref="R22"/>
    </sheetView>
  </sheetViews>
  <sheetFormatPr defaultColWidth="9" defaultRowHeight="13.5" outlineLevelCol="1"/>
  <cols>
    <col min="2" max="2" width="12.625"/>
    <col min="6" max="6" width="12.625"/>
    <col min="8" max="8" width="12.625"/>
  </cols>
  <sheetData>
    <row r="1" spans="1:1">
      <c r="A1" t="s">
        <v>0</v>
      </c>
    </row>
    <row r="2" spans="1:2">
      <c r="A2" t="s">
        <v>1</v>
      </c>
      <c r="B2">
        <v>0.539018012378788</v>
      </c>
    </row>
    <row r="3" spans="1:2">
      <c r="A3" t="s">
        <v>2</v>
      </c>
      <c r="B3">
        <v>0.571410398989899</v>
      </c>
    </row>
    <row r="4" spans="1:2">
      <c r="A4" t="s">
        <v>3</v>
      </c>
      <c r="B4">
        <v>0.60997433129798</v>
      </c>
    </row>
    <row r="5" spans="1:2">
      <c r="A5" t="s">
        <v>4</v>
      </c>
      <c r="B5">
        <v>0.468711875561576</v>
      </c>
    </row>
    <row r="6" spans="1:2">
      <c r="A6" t="s">
        <v>5</v>
      </c>
      <c r="B6">
        <v>0.494931263546798</v>
      </c>
    </row>
    <row r="7" spans="1:2">
      <c r="A7" t="s">
        <v>6</v>
      </c>
      <c r="B7">
        <v>0.549323413903941</v>
      </c>
    </row>
    <row r="9" spans="1:1">
      <c r="A9" t="s">
        <v>7</v>
      </c>
    </row>
    <row r="10" spans="1:2">
      <c r="A10" t="s">
        <v>1</v>
      </c>
      <c r="B10">
        <v>0.3572545565</v>
      </c>
    </row>
    <row r="11" spans="1:2">
      <c r="A11" t="s">
        <v>2</v>
      </c>
      <c r="B11">
        <v>0.378867386363637</v>
      </c>
    </row>
    <row r="12" spans="1:2">
      <c r="A12" t="s">
        <v>3</v>
      </c>
      <c r="B12">
        <v>0.413844243328283</v>
      </c>
    </row>
    <row r="13" spans="1:2">
      <c r="A13" t="s">
        <v>4</v>
      </c>
      <c r="B13">
        <v>0.371655349068965</v>
      </c>
    </row>
    <row r="14" spans="1:2">
      <c r="A14" t="s">
        <v>5</v>
      </c>
      <c r="B14">
        <v>0.392072360344828</v>
      </c>
    </row>
    <row r="15" spans="1:2">
      <c r="A15" t="s">
        <v>6</v>
      </c>
      <c r="B15">
        <v>0.466600585126109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92"/>
  <sheetViews>
    <sheetView workbookViewId="0">
      <selection activeCell="W35" sqref="W35"/>
    </sheetView>
  </sheetViews>
  <sheetFormatPr defaultColWidth="9" defaultRowHeight="13.5"/>
  <cols>
    <col min="1" max="1" width="9" style="1"/>
    <col min="2" max="5" width="12.625" style="1"/>
    <col min="17" max="17" width="9" style="1"/>
    <col min="20" max="23" width="13.75"/>
  </cols>
  <sheetData>
    <row r="1" spans="1:23">
      <c r="A1" s="1" t="s">
        <v>8</v>
      </c>
      <c r="B1" s="1" t="s">
        <v>2</v>
      </c>
      <c r="C1" s="1" t="s">
        <v>5</v>
      </c>
      <c r="D1" s="1" t="s">
        <v>3</v>
      </c>
      <c r="E1" s="1" t="s">
        <v>6</v>
      </c>
      <c r="L1" s="1"/>
      <c r="M1" s="1"/>
      <c r="Q1" s="1" t="s">
        <v>9</v>
      </c>
      <c r="S1" t="s">
        <v>10</v>
      </c>
      <c r="T1" s="1" t="s">
        <v>2</v>
      </c>
      <c r="U1" s="1" t="s">
        <v>5</v>
      </c>
      <c r="V1" s="1" t="s">
        <v>3</v>
      </c>
      <c r="W1" s="1" t="s">
        <v>6</v>
      </c>
    </row>
    <row r="2" spans="1:23">
      <c r="A2" s="1">
        <v>0</v>
      </c>
      <c r="B2" s="2">
        <v>0</v>
      </c>
      <c r="C2" s="2">
        <v>0</v>
      </c>
      <c r="D2" s="2">
        <v>0</v>
      </c>
      <c r="E2" s="2">
        <v>0</v>
      </c>
      <c r="I2" s="1">
        <f t="shared" ref="I2:N2" si="0">STDEVP(B2:B492)</f>
        <v>0.018502492735199</v>
      </c>
      <c r="J2" s="1">
        <f t="shared" si="0"/>
        <v>0.0169153056456595</v>
      </c>
      <c r="K2" s="1">
        <f t="shared" si="0"/>
        <v>0.106156661484531</v>
      </c>
      <c r="L2" s="1">
        <f t="shared" si="0"/>
        <v>0.138033425971958</v>
      </c>
      <c r="M2" s="1"/>
      <c r="N2" s="1"/>
      <c r="Q2" s="1" t="s">
        <v>10</v>
      </c>
      <c r="S2" t="s">
        <v>11</v>
      </c>
      <c r="T2">
        <f>MAX(B2:B325)</f>
        <v>0.0674001070000001</v>
      </c>
      <c r="U2">
        <f>MAX(C2:C325)</f>
        <v>0.059545139</v>
      </c>
      <c r="V2">
        <f>MAX(D2:D325)</f>
        <v>0.482226588</v>
      </c>
      <c r="W2">
        <f>MAX(E2:E325)</f>
        <v>0.896821221</v>
      </c>
    </row>
    <row r="3" spans="1:23">
      <c r="A3" s="1">
        <v>1</v>
      </c>
      <c r="B3" s="2">
        <v>0.034412973</v>
      </c>
      <c r="C3" s="2">
        <v>0.00761827299999998</v>
      </c>
      <c r="D3" s="2">
        <v>0.111492631</v>
      </c>
      <c r="E3" s="2">
        <v>0.045091262</v>
      </c>
      <c r="I3" s="1">
        <f t="shared" ref="I3:N3" si="1">AVERAGE(B2:B492)</f>
        <v>0.0261250205661914</v>
      </c>
      <c r="J3" s="1">
        <f t="shared" si="1"/>
        <v>0.0216803900651731</v>
      </c>
      <c r="K3" s="1">
        <f t="shared" si="1"/>
        <v>0.0572274995763747</v>
      </c>
      <c r="L3" s="1">
        <f t="shared" si="1"/>
        <v>0.0666563840468432</v>
      </c>
      <c r="M3" s="1"/>
      <c r="N3" s="1"/>
      <c r="Q3" s="1" t="s">
        <v>10</v>
      </c>
      <c r="S3" t="s">
        <v>12</v>
      </c>
      <c r="T3">
        <f>MIN(B2:B325)</f>
        <v>0</v>
      </c>
      <c r="U3">
        <f>MIN(C2:C325)</f>
        <v>-3.69999999999537e-7</v>
      </c>
      <c r="V3">
        <f>MIN(D2:D325)</f>
        <v>0</v>
      </c>
      <c r="W3">
        <f>MIN(E2:E325)</f>
        <v>0</v>
      </c>
    </row>
    <row r="4" spans="1:23">
      <c r="A4" s="1">
        <v>2</v>
      </c>
      <c r="B4" s="2">
        <v>0</v>
      </c>
      <c r="C4" s="2">
        <v>0</v>
      </c>
      <c r="D4" s="2">
        <v>0</v>
      </c>
      <c r="E4" s="2">
        <v>0</v>
      </c>
      <c r="Q4" s="1" t="s">
        <v>10</v>
      </c>
      <c r="S4" t="s">
        <v>13</v>
      </c>
      <c r="T4">
        <f>AVERAGE(B2:B325)</f>
        <v>0.0285681511604938</v>
      </c>
      <c r="U4">
        <f>AVERAGE(C2:C325)</f>
        <v>0.0241658929228395</v>
      </c>
      <c r="V4">
        <f>AVERAGE(D2:D325)</f>
        <v>0.0462693033518518</v>
      </c>
      <c r="W4">
        <f>AVERAGE(E2:E325)</f>
        <v>0.0536201668024692</v>
      </c>
    </row>
    <row r="5" spans="1:23">
      <c r="A5" s="1">
        <v>3</v>
      </c>
      <c r="B5" s="2">
        <v>0.026143922</v>
      </c>
      <c r="C5" s="2">
        <v>0.023001729</v>
      </c>
      <c r="D5" s="2">
        <v>0.0478988440000001</v>
      </c>
      <c r="E5" s="2">
        <v>0.040471763</v>
      </c>
      <c r="Q5" s="1" t="s">
        <v>10</v>
      </c>
      <c r="S5" t="s">
        <v>14</v>
      </c>
      <c r="T5">
        <f>MEDIAN(B2:B325)</f>
        <v>0.031981937</v>
      </c>
      <c r="U5">
        <f>MEDIAN(C2:C325)</f>
        <v>0.02585172</v>
      </c>
      <c r="V5">
        <f>MEDIAN(D2:D325)</f>
        <v>0.022759545</v>
      </c>
      <c r="W5">
        <f>MEDIAN(E2:E325)</f>
        <v>0.0181417665</v>
      </c>
    </row>
    <row r="6" spans="1:23">
      <c r="A6" s="1">
        <v>4</v>
      </c>
      <c r="B6" s="2">
        <v>0.043866854</v>
      </c>
      <c r="C6" s="2">
        <v>0.039519918</v>
      </c>
      <c r="D6" s="2">
        <v>0.037895274</v>
      </c>
      <c r="E6" s="2">
        <v>0.030814439</v>
      </c>
      <c r="Q6" s="1" t="s">
        <v>10</v>
      </c>
      <c r="S6" t="s">
        <v>15</v>
      </c>
      <c r="T6">
        <f>COUNTIF(B2:B325,"&gt;0")</f>
        <v>259</v>
      </c>
      <c r="U6">
        <f>COUNTIF(C2:C325,"&gt;0")</f>
        <v>263</v>
      </c>
      <c r="V6">
        <f>COUNTIF(D2:D325,"&gt;0")</f>
        <v>259</v>
      </c>
      <c r="W6">
        <f>COUNTIF(E2:E325,"&gt;0")</f>
        <v>272</v>
      </c>
    </row>
    <row r="7" spans="1:23">
      <c r="A7" s="1">
        <v>5</v>
      </c>
      <c r="B7" s="2">
        <v>0.041320495</v>
      </c>
      <c r="C7" s="2">
        <v>0.036216274</v>
      </c>
      <c r="D7" s="2">
        <v>0.018547094</v>
      </c>
      <c r="E7" s="2">
        <v>0.0144672850000001</v>
      </c>
      <c r="Q7" s="1" t="s">
        <v>10</v>
      </c>
      <c r="S7" t="s">
        <v>16</v>
      </c>
      <c r="T7">
        <f t="shared" ref="T7:W7" si="2">T6/324</f>
        <v>0.799382716049383</v>
      </c>
      <c r="U7">
        <f t="shared" si="2"/>
        <v>0.811728395061728</v>
      </c>
      <c r="V7">
        <f t="shared" si="2"/>
        <v>0.799382716049383</v>
      </c>
      <c r="W7">
        <f t="shared" si="2"/>
        <v>0.839506172839506</v>
      </c>
    </row>
    <row r="8" spans="1:23">
      <c r="A8" s="1">
        <v>6</v>
      </c>
      <c r="B8" s="2">
        <v>0.0445446270000001</v>
      </c>
      <c r="C8" s="2">
        <v>0.037456995</v>
      </c>
      <c r="D8" s="2">
        <v>0.053745458</v>
      </c>
      <c r="E8" s="2">
        <v>0.0454906289999999</v>
      </c>
      <c r="Q8" s="1" t="s">
        <v>10</v>
      </c>
      <c r="S8" t="s">
        <v>17</v>
      </c>
      <c r="T8">
        <f>COUNTIF(B2:B325,"&lt;0")</f>
        <v>0</v>
      </c>
      <c r="U8">
        <f>COUNTIF(C2:C325,"&lt;0")</f>
        <v>1</v>
      </c>
      <c r="V8">
        <f>COUNTIF(D2:D325,"&lt;0")</f>
        <v>0</v>
      </c>
      <c r="W8">
        <f>COUNTIF(E2:E325,"&lt;0")</f>
        <v>0</v>
      </c>
    </row>
    <row r="9" spans="1:23">
      <c r="A9" s="1">
        <v>7</v>
      </c>
      <c r="B9" s="2">
        <v>0.044012848</v>
      </c>
      <c r="C9" s="2">
        <v>0.0514201470000001</v>
      </c>
      <c r="D9" s="2">
        <v>0.037560167</v>
      </c>
      <c r="E9" s="2">
        <v>0.044782282</v>
      </c>
      <c r="Q9" s="1" t="s">
        <v>10</v>
      </c>
      <c r="S9" t="s">
        <v>18</v>
      </c>
      <c r="T9">
        <f t="shared" ref="T9:W9" si="3">T8/324</f>
        <v>0</v>
      </c>
      <c r="U9">
        <f t="shared" si="3"/>
        <v>0.00308641975308642</v>
      </c>
      <c r="V9">
        <f t="shared" si="3"/>
        <v>0</v>
      </c>
      <c r="W9">
        <f t="shared" si="3"/>
        <v>0</v>
      </c>
    </row>
    <row r="10" spans="1:17">
      <c r="A10" s="1">
        <v>8</v>
      </c>
      <c r="B10" s="2">
        <v>0.0418473039999999</v>
      </c>
      <c r="C10" s="2">
        <v>0.036868911</v>
      </c>
      <c r="D10" s="2">
        <v>0.0120127719999999</v>
      </c>
      <c r="E10" s="2">
        <v>0.00911542300000001</v>
      </c>
      <c r="Q10" s="1" t="s">
        <v>10</v>
      </c>
    </row>
    <row r="11" spans="1:17">
      <c r="A11" s="1">
        <v>9</v>
      </c>
      <c r="B11" s="2">
        <v>0.0447788290000001</v>
      </c>
      <c r="C11" s="2">
        <v>0.000206628</v>
      </c>
      <c r="D11" s="2">
        <v>0.425593444</v>
      </c>
      <c r="E11" s="2">
        <v>0.876619131</v>
      </c>
      <c r="Q11" s="1" t="s">
        <v>10</v>
      </c>
    </row>
    <row r="12" spans="1:17">
      <c r="A12" s="1">
        <v>10</v>
      </c>
      <c r="B12" s="2">
        <v>0.036476163</v>
      </c>
      <c r="C12" s="2">
        <v>0.0333210130000001</v>
      </c>
      <c r="D12" s="2">
        <v>0.083731617</v>
      </c>
      <c r="E12" s="2">
        <v>0.0764062190000001</v>
      </c>
      <c r="Q12" s="1" t="s">
        <v>10</v>
      </c>
    </row>
    <row r="13" spans="1:17">
      <c r="A13" s="1">
        <v>11</v>
      </c>
      <c r="B13" s="2">
        <v>0</v>
      </c>
      <c r="C13" s="2">
        <v>0</v>
      </c>
      <c r="D13" s="2">
        <v>0</v>
      </c>
      <c r="E13" s="2">
        <v>0</v>
      </c>
      <c r="Q13" s="1" t="s">
        <v>10</v>
      </c>
    </row>
    <row r="14" spans="1:17">
      <c r="A14" s="1">
        <v>12</v>
      </c>
      <c r="B14" s="2">
        <v>0</v>
      </c>
      <c r="C14" s="2">
        <v>0</v>
      </c>
      <c r="D14" s="2">
        <v>0</v>
      </c>
      <c r="E14" s="2">
        <v>0</v>
      </c>
      <c r="Q14" s="1" t="s">
        <v>10</v>
      </c>
    </row>
    <row r="15" spans="1:23">
      <c r="A15" s="1">
        <v>13</v>
      </c>
      <c r="B15" s="2">
        <v>0</v>
      </c>
      <c r="C15" s="2">
        <v>0</v>
      </c>
      <c r="D15" s="2">
        <v>0</v>
      </c>
      <c r="E15" s="2">
        <v>0.036477596</v>
      </c>
      <c r="Q15" s="1" t="s">
        <v>10</v>
      </c>
      <c r="S15" t="s">
        <v>19</v>
      </c>
      <c r="T15" s="1" t="s">
        <v>2</v>
      </c>
      <c r="U15" s="1" t="s">
        <v>5</v>
      </c>
      <c r="V15" s="1" t="s">
        <v>3</v>
      </c>
      <c r="W15" s="1" t="s">
        <v>6</v>
      </c>
    </row>
    <row r="16" spans="1:23">
      <c r="A16" s="1">
        <v>14</v>
      </c>
      <c r="B16" s="2">
        <v>0</v>
      </c>
      <c r="C16" s="2">
        <v>0</v>
      </c>
      <c r="D16" s="2">
        <v>0</v>
      </c>
      <c r="E16" s="2">
        <v>0</v>
      </c>
      <c r="Q16" s="1" t="s">
        <v>10</v>
      </c>
      <c r="S16" t="s">
        <v>11</v>
      </c>
      <c r="T16">
        <f>MAX(B326:B492)</f>
        <v>0.067565846</v>
      </c>
      <c r="U16">
        <f>MAX(C326:C492)</f>
        <v>0.065969783</v>
      </c>
      <c r="V16">
        <f>MAX(D326:D492)</f>
        <v>0.84954886</v>
      </c>
      <c r="W16">
        <f>MAX(E326:E492)</f>
        <v>0.961552098</v>
      </c>
    </row>
    <row r="17" spans="1:23">
      <c r="A17" s="1">
        <v>15</v>
      </c>
      <c r="B17" s="2">
        <v>0</v>
      </c>
      <c r="C17" s="2">
        <v>0</v>
      </c>
      <c r="D17" s="2">
        <v>0</v>
      </c>
      <c r="E17" s="2">
        <v>0.050547025</v>
      </c>
      <c r="Q17" s="1" t="s">
        <v>10</v>
      </c>
      <c r="S17" t="s">
        <v>12</v>
      </c>
      <c r="T17">
        <f>MIN(B326:B492)</f>
        <v>0</v>
      </c>
      <c r="U17">
        <f>MIN(C326:C492)</f>
        <v>0</v>
      </c>
      <c r="V17">
        <f>MIN(D326:D492)</f>
        <v>0</v>
      </c>
      <c r="W17">
        <f>MIN(E326:E492)</f>
        <v>0</v>
      </c>
    </row>
    <row r="18" spans="1:23">
      <c r="A18" s="1">
        <v>16</v>
      </c>
      <c r="B18" s="2">
        <v>0.045712018</v>
      </c>
      <c r="C18" s="2">
        <v>0.039213548</v>
      </c>
      <c r="D18" s="2">
        <v>0.032340891</v>
      </c>
      <c r="E18" s="2">
        <v>0.0243487610000001</v>
      </c>
      <c r="Q18" s="1" t="s">
        <v>10</v>
      </c>
      <c r="S18" t="s">
        <v>13</v>
      </c>
      <c r="T18">
        <f>AVERAGE(B326:B492)</f>
        <v>0.0213850546227545</v>
      </c>
      <c r="U18">
        <f>AVERAGE(C326:C492)</f>
        <v>0.0168582168562874</v>
      </c>
      <c r="V18">
        <f>AVERAGE(D326:D492)</f>
        <v>0.0784877126107784</v>
      </c>
      <c r="W18">
        <f>AVERAGE(E326:E492)</f>
        <v>0.0919482067245509</v>
      </c>
    </row>
    <row r="19" spans="1:23">
      <c r="A19" s="1">
        <v>17</v>
      </c>
      <c r="B19" s="2">
        <v>0.03282861</v>
      </c>
      <c r="C19" s="2">
        <v>0.028923848</v>
      </c>
      <c r="D19" s="2">
        <v>0.011998564</v>
      </c>
      <c r="E19" s="2">
        <v>0.00980869200000001</v>
      </c>
      <c r="Q19" s="1" t="s">
        <v>10</v>
      </c>
      <c r="S19" t="s">
        <v>14</v>
      </c>
      <c r="T19">
        <f>MEDIAN(B326:B492)</f>
        <v>0.021744485</v>
      </c>
      <c r="U19">
        <f>MEDIAN(C326:C492)</f>
        <v>0.01262792</v>
      </c>
      <c r="V19">
        <f>MEDIAN(D326:D492)</f>
        <v>0.029896144</v>
      </c>
      <c r="W19">
        <f>MEDIAN(E326:E492)</f>
        <v>0.027046538</v>
      </c>
    </row>
    <row r="20" spans="1:23">
      <c r="A20" s="1">
        <v>18</v>
      </c>
      <c r="B20" s="2">
        <v>0.035372421</v>
      </c>
      <c r="C20" s="2">
        <v>0.030378388</v>
      </c>
      <c r="D20" s="2">
        <v>0.102150374</v>
      </c>
      <c r="E20" s="2">
        <v>0.090397919</v>
      </c>
      <c r="Q20" s="1" t="s">
        <v>10</v>
      </c>
      <c r="S20" t="s">
        <v>15</v>
      </c>
      <c r="T20">
        <f>COUNTIF(B326:B492,"&gt;0")</f>
        <v>132</v>
      </c>
      <c r="U20">
        <f>COUNTIF(C326:C492,"&gt;0")</f>
        <v>136</v>
      </c>
      <c r="V20">
        <f>COUNTIF(D326:D492,"&gt;0")</f>
        <v>133</v>
      </c>
      <c r="W20">
        <f>COUNTIF(E326:E492,"&gt;0")</f>
        <v>149</v>
      </c>
    </row>
    <row r="21" spans="1:23">
      <c r="A21" s="1">
        <v>19</v>
      </c>
      <c r="B21" s="2">
        <v>0.052707032</v>
      </c>
      <c r="C21" s="2">
        <v>0.052904945</v>
      </c>
      <c r="D21" s="2">
        <v>0.066379518</v>
      </c>
      <c r="E21" s="2">
        <v>0.067341895</v>
      </c>
      <c r="Q21" s="1" t="s">
        <v>10</v>
      </c>
      <c r="S21" t="s">
        <v>16</v>
      </c>
      <c r="T21">
        <f t="shared" ref="T21:W21" si="4">T20/324</f>
        <v>0.407407407407407</v>
      </c>
      <c r="U21">
        <f t="shared" si="4"/>
        <v>0.419753086419753</v>
      </c>
      <c r="V21">
        <f t="shared" si="4"/>
        <v>0.410493827160494</v>
      </c>
      <c r="W21">
        <f t="shared" si="4"/>
        <v>0.459876543209877</v>
      </c>
    </row>
    <row r="22" spans="1:23">
      <c r="A22" s="1">
        <v>20</v>
      </c>
      <c r="B22" s="2">
        <v>0.0379838140000001</v>
      </c>
      <c r="C22" s="2">
        <v>0.0336012570000001</v>
      </c>
      <c r="D22" s="2">
        <v>0.0230984950000001</v>
      </c>
      <c r="E22" s="2">
        <v>0.0185955440000001</v>
      </c>
      <c r="Q22" s="1" t="s">
        <v>10</v>
      </c>
      <c r="S22" t="s">
        <v>17</v>
      </c>
      <c r="T22">
        <f>COUNTIF(B326:B492,"&lt;0")</f>
        <v>0</v>
      </c>
      <c r="U22">
        <f>COUNTIF(C326:C492,"&lt;0")</f>
        <v>0</v>
      </c>
      <c r="V22">
        <f>COUNTIF(D326:D492,"&lt;0")</f>
        <v>0</v>
      </c>
      <c r="W22">
        <f>COUNTIF(E326:E492,"&lt;0")</f>
        <v>0</v>
      </c>
    </row>
    <row r="23" spans="1:23">
      <c r="A23" s="1">
        <v>21</v>
      </c>
      <c r="B23" s="2">
        <v>0</v>
      </c>
      <c r="C23" s="2">
        <v>0</v>
      </c>
      <c r="D23" s="2">
        <v>0</v>
      </c>
      <c r="E23" s="2">
        <v>0.400241721</v>
      </c>
      <c r="Q23" s="1" t="s">
        <v>10</v>
      </c>
      <c r="S23" t="s">
        <v>18</v>
      </c>
      <c r="T23">
        <f t="shared" ref="T23:W23" si="5">T22/324</f>
        <v>0</v>
      </c>
      <c r="U23">
        <f t="shared" si="5"/>
        <v>0</v>
      </c>
      <c r="V23">
        <f t="shared" si="5"/>
        <v>0</v>
      </c>
      <c r="W23">
        <f t="shared" si="5"/>
        <v>0</v>
      </c>
    </row>
    <row r="24" spans="1:17">
      <c r="A24" s="1">
        <v>22</v>
      </c>
      <c r="B24" s="2">
        <v>0</v>
      </c>
      <c r="C24" s="2">
        <v>0</v>
      </c>
      <c r="D24" s="2">
        <v>0</v>
      </c>
      <c r="E24" s="2">
        <v>0</v>
      </c>
      <c r="Q24" s="1" t="s">
        <v>10</v>
      </c>
    </row>
    <row r="25" ht="16.5" spans="1:19">
      <c r="A25" s="1">
        <v>23</v>
      </c>
      <c r="B25" s="2">
        <v>0</v>
      </c>
      <c r="C25" s="2">
        <v>0</v>
      </c>
      <c r="D25" s="2">
        <v>0</v>
      </c>
      <c r="E25" s="2">
        <v>0</v>
      </c>
      <c r="Q25" s="1" t="s">
        <v>10</v>
      </c>
      <c r="S25" s="3" t="s">
        <v>20</v>
      </c>
    </row>
    <row r="26" spans="1:17">
      <c r="A26" s="1">
        <v>24</v>
      </c>
      <c r="B26" s="2">
        <v>0</v>
      </c>
      <c r="C26" s="2">
        <v>0</v>
      </c>
      <c r="D26" s="2">
        <v>0</v>
      </c>
      <c r="E26" s="2">
        <v>0</v>
      </c>
      <c r="Q26" s="1" t="s">
        <v>10</v>
      </c>
    </row>
    <row r="27" spans="1:17">
      <c r="A27" s="1">
        <v>25</v>
      </c>
      <c r="B27" s="2">
        <v>0</v>
      </c>
      <c r="C27" s="2">
        <v>0</v>
      </c>
      <c r="D27" s="2">
        <v>0</v>
      </c>
      <c r="E27" s="2">
        <v>0.471788974</v>
      </c>
      <c r="Q27" s="1" t="s">
        <v>10</v>
      </c>
    </row>
    <row r="28" spans="1:17">
      <c r="A28" s="1">
        <v>26</v>
      </c>
      <c r="B28" s="2">
        <v>0.002853488</v>
      </c>
      <c r="C28" s="2">
        <v>0.001108687</v>
      </c>
      <c r="D28" s="2">
        <v>0.01131382</v>
      </c>
      <c r="E28" s="2">
        <v>0.007240702</v>
      </c>
      <c r="Q28" s="1" t="s">
        <v>10</v>
      </c>
    </row>
    <row r="29" spans="1:17">
      <c r="A29" s="1">
        <v>27</v>
      </c>
      <c r="B29" s="2">
        <v>0</v>
      </c>
      <c r="C29" s="2">
        <v>0</v>
      </c>
      <c r="D29" s="2">
        <v>0</v>
      </c>
      <c r="E29" s="2">
        <v>0</v>
      </c>
      <c r="Q29" s="1" t="s">
        <v>10</v>
      </c>
    </row>
    <row r="30" spans="1:17">
      <c r="A30" s="1">
        <v>28</v>
      </c>
      <c r="B30" s="2">
        <v>0</v>
      </c>
      <c r="C30" s="2">
        <v>0</v>
      </c>
      <c r="D30" s="2">
        <v>0</v>
      </c>
      <c r="E30" s="2">
        <v>0</v>
      </c>
      <c r="Q30" s="1" t="s">
        <v>10</v>
      </c>
    </row>
    <row r="31" spans="1:17">
      <c r="A31" s="1">
        <v>29</v>
      </c>
      <c r="B31" s="2">
        <v>0</v>
      </c>
      <c r="C31" s="2">
        <v>0</v>
      </c>
      <c r="D31" s="2">
        <v>0</v>
      </c>
      <c r="E31" s="2">
        <v>0</v>
      </c>
      <c r="Q31" s="1" t="s">
        <v>10</v>
      </c>
    </row>
    <row r="32" spans="1:17">
      <c r="A32" s="1">
        <v>30</v>
      </c>
      <c r="B32" s="2">
        <v>0.0441448280000001</v>
      </c>
      <c r="C32" s="2">
        <v>0.039394615</v>
      </c>
      <c r="D32" s="2">
        <v>0.0197553210000001</v>
      </c>
      <c r="E32" s="2">
        <v>0.014162241</v>
      </c>
      <c r="Q32" s="1" t="s">
        <v>10</v>
      </c>
    </row>
    <row r="33" spans="1:17">
      <c r="A33" s="1">
        <v>31</v>
      </c>
      <c r="B33" s="2">
        <v>0.051731565</v>
      </c>
      <c r="C33" s="2">
        <v>0.0508395819999999</v>
      </c>
      <c r="D33" s="2">
        <v>0.0465002</v>
      </c>
      <c r="E33" s="2">
        <v>0.044284934</v>
      </c>
      <c r="Q33" s="1" t="s">
        <v>10</v>
      </c>
    </row>
    <row r="34" spans="1:17">
      <c r="A34" s="1">
        <v>32</v>
      </c>
      <c r="B34" s="2">
        <v>0.011801796</v>
      </c>
      <c r="C34" s="2">
        <v>0.001715284</v>
      </c>
      <c r="D34" s="2">
        <v>0.462777521</v>
      </c>
      <c r="E34" s="2">
        <v>0.277078539</v>
      </c>
      <c r="Q34" s="1" t="s">
        <v>10</v>
      </c>
    </row>
    <row r="35" spans="1:17">
      <c r="A35" s="1">
        <v>33</v>
      </c>
      <c r="B35" s="2">
        <v>0.00364792900000002</v>
      </c>
      <c r="C35" s="2">
        <v>0.002377925</v>
      </c>
      <c r="D35" s="2">
        <v>0.337278399</v>
      </c>
      <c r="E35" s="2">
        <v>0.289380794</v>
      </c>
      <c r="Q35" s="1" t="s">
        <v>10</v>
      </c>
    </row>
    <row r="36" spans="1:17">
      <c r="A36" s="1">
        <v>34</v>
      </c>
      <c r="B36" s="2">
        <v>0.017087643</v>
      </c>
      <c r="C36" s="2">
        <v>0.005097408</v>
      </c>
      <c r="D36" s="2">
        <v>0.095750844</v>
      </c>
      <c r="E36" s="2">
        <v>0.04818226</v>
      </c>
      <c r="Q36" s="1" t="s">
        <v>10</v>
      </c>
    </row>
    <row r="37" spans="1:17">
      <c r="A37" s="1">
        <v>35</v>
      </c>
      <c r="B37" s="2">
        <v>0.02660804</v>
      </c>
      <c r="C37" s="2">
        <v>0.00719375899999999</v>
      </c>
      <c r="D37" s="2">
        <v>0.048363604</v>
      </c>
      <c r="E37" s="2">
        <v>0.020236328</v>
      </c>
      <c r="Q37" s="1" t="s">
        <v>10</v>
      </c>
    </row>
    <row r="38" spans="1:17">
      <c r="A38" s="1">
        <v>36</v>
      </c>
      <c r="B38" s="2">
        <v>0.006386171</v>
      </c>
      <c r="C38" s="2">
        <v>0.00304798000000001</v>
      </c>
      <c r="D38" s="2">
        <v>0.029554582</v>
      </c>
      <c r="E38" s="2">
        <v>0.019624028</v>
      </c>
      <c r="Q38" s="1" t="s">
        <v>10</v>
      </c>
    </row>
    <row r="39" spans="1:17">
      <c r="A39" s="1">
        <v>37</v>
      </c>
      <c r="B39" s="2">
        <v>0</v>
      </c>
      <c r="C39" s="2">
        <v>0</v>
      </c>
      <c r="D39" s="2">
        <v>0</v>
      </c>
      <c r="E39" s="2">
        <v>0.346774126</v>
      </c>
      <c r="Q39" s="1" t="s">
        <v>10</v>
      </c>
    </row>
    <row r="40" spans="1:17">
      <c r="A40" s="1">
        <v>38</v>
      </c>
      <c r="B40" s="2">
        <v>0</v>
      </c>
      <c r="C40" s="2">
        <v>0.00491195200000005</v>
      </c>
      <c r="D40" s="2">
        <v>0</v>
      </c>
      <c r="E40" s="2">
        <v>0.00491195200000005</v>
      </c>
      <c r="Q40" s="1" t="s">
        <v>10</v>
      </c>
    </row>
    <row r="41" spans="1:17">
      <c r="A41" s="1">
        <v>39</v>
      </c>
      <c r="B41" s="2">
        <v>0.013713109</v>
      </c>
      <c r="C41" s="2">
        <v>0.00552787000000002</v>
      </c>
      <c r="D41" s="2">
        <v>0.10018904</v>
      </c>
      <c r="E41" s="2">
        <v>0.064024787</v>
      </c>
      <c r="Q41" s="1" t="s">
        <v>10</v>
      </c>
    </row>
    <row r="42" spans="1:17">
      <c r="A42" s="1">
        <v>40</v>
      </c>
      <c r="B42" s="2">
        <v>0.036163508</v>
      </c>
      <c r="C42" s="2">
        <v>0.025921571</v>
      </c>
      <c r="D42" s="2">
        <v>0.016261526</v>
      </c>
      <c r="E42" s="2">
        <v>0.010535409</v>
      </c>
      <c r="Q42" s="1" t="s">
        <v>10</v>
      </c>
    </row>
    <row r="43" spans="1:17">
      <c r="A43" s="1">
        <v>41</v>
      </c>
      <c r="B43" s="2">
        <v>0.036802236</v>
      </c>
      <c r="C43" s="2">
        <v>0.00816357499999998</v>
      </c>
      <c r="D43" s="2">
        <v>0.049793399</v>
      </c>
      <c r="E43" s="2">
        <v>0.018501884</v>
      </c>
      <c r="Q43" s="1" t="s">
        <v>10</v>
      </c>
    </row>
    <row r="44" spans="1:17">
      <c r="A44" s="1">
        <v>42</v>
      </c>
      <c r="B44" s="2">
        <v>0.02685181</v>
      </c>
      <c r="C44" s="2">
        <v>0.013882491</v>
      </c>
      <c r="D44" s="2">
        <v>0.083015845</v>
      </c>
      <c r="E44" s="2">
        <v>0.052588374</v>
      </c>
      <c r="Q44" s="1" t="s">
        <v>10</v>
      </c>
    </row>
    <row r="45" spans="1:17">
      <c r="A45" s="1">
        <v>43</v>
      </c>
      <c r="B45" s="2">
        <v>0.03150311</v>
      </c>
      <c r="C45" s="2">
        <v>0.0228416769999999</v>
      </c>
      <c r="D45" s="2">
        <v>0.01115026</v>
      </c>
      <c r="E45" s="2">
        <v>0.00749406699999999</v>
      </c>
      <c r="Q45" s="1" t="s">
        <v>10</v>
      </c>
    </row>
    <row r="46" spans="1:17">
      <c r="A46" s="1">
        <v>44</v>
      </c>
      <c r="B46" s="2">
        <v>0</v>
      </c>
      <c r="C46" s="2">
        <v>0.025842761</v>
      </c>
      <c r="D46" s="2">
        <v>0</v>
      </c>
      <c r="E46" s="2">
        <v>0.280694159</v>
      </c>
      <c r="Q46" s="1" t="s">
        <v>10</v>
      </c>
    </row>
    <row r="47" spans="1:17">
      <c r="A47" s="1">
        <v>45</v>
      </c>
      <c r="B47" s="2">
        <v>0.014103147</v>
      </c>
      <c r="C47" s="2">
        <v>0.00353541800000001</v>
      </c>
      <c r="D47" s="2">
        <v>0.104241774</v>
      </c>
      <c r="E47" s="2">
        <v>0.049797894</v>
      </c>
      <c r="Q47" s="1" t="s">
        <v>10</v>
      </c>
    </row>
    <row r="48" spans="1:17">
      <c r="A48" s="1">
        <v>46</v>
      </c>
      <c r="B48" s="2">
        <v>0.003668645</v>
      </c>
      <c r="C48" s="2">
        <v>0.001409312</v>
      </c>
      <c r="D48" s="2">
        <v>0.028235212</v>
      </c>
      <c r="E48" s="2">
        <v>0.017761606</v>
      </c>
      <c r="Q48" s="1" t="s">
        <v>10</v>
      </c>
    </row>
    <row r="49" spans="1:17">
      <c r="A49" s="1">
        <v>47</v>
      </c>
      <c r="B49" s="2">
        <v>0</v>
      </c>
      <c r="C49" s="2">
        <v>0</v>
      </c>
      <c r="D49" s="2">
        <v>0</v>
      </c>
      <c r="E49" s="2">
        <v>0.896821221</v>
      </c>
      <c r="Q49" s="1" t="s">
        <v>10</v>
      </c>
    </row>
    <row r="50" spans="1:17">
      <c r="A50" s="1">
        <v>48</v>
      </c>
      <c r="B50" s="2">
        <v>0</v>
      </c>
      <c r="C50" s="2">
        <v>0</v>
      </c>
      <c r="D50" s="2">
        <v>0</v>
      </c>
      <c r="E50" s="2">
        <v>0</v>
      </c>
      <c r="Q50" s="1" t="s">
        <v>10</v>
      </c>
    </row>
    <row r="51" spans="1:17">
      <c r="A51" s="1">
        <v>49</v>
      </c>
      <c r="B51" s="2">
        <v>0</v>
      </c>
      <c r="C51" s="2">
        <v>0</v>
      </c>
      <c r="D51" s="2">
        <v>0</v>
      </c>
      <c r="E51" s="2">
        <v>0</v>
      </c>
      <c r="Q51" s="1" t="s">
        <v>10</v>
      </c>
    </row>
    <row r="52" spans="1:17">
      <c r="A52" s="1">
        <v>50</v>
      </c>
      <c r="B52" s="2">
        <v>0</v>
      </c>
      <c r="C52" s="2">
        <v>0</v>
      </c>
      <c r="D52" s="2">
        <v>0</v>
      </c>
      <c r="E52" s="2">
        <v>0</v>
      </c>
      <c r="Q52" s="1" t="s">
        <v>10</v>
      </c>
    </row>
    <row r="53" spans="1:17">
      <c r="A53" s="1">
        <v>51</v>
      </c>
      <c r="B53" s="2">
        <v>2.19999999995224e-7</v>
      </c>
      <c r="C53" s="2">
        <v>-3.69999999999537e-7</v>
      </c>
      <c r="D53" s="2">
        <v>0.402125943</v>
      </c>
      <c r="E53" s="2">
        <v>0.378472348</v>
      </c>
      <c r="Q53" s="1" t="s">
        <v>10</v>
      </c>
    </row>
    <row r="54" spans="1:17">
      <c r="A54" s="1">
        <v>52</v>
      </c>
      <c r="B54" s="2">
        <v>0</v>
      </c>
      <c r="C54" s="2">
        <v>0.00060507200000004</v>
      </c>
      <c r="D54" s="2">
        <v>0</v>
      </c>
      <c r="E54" s="2">
        <v>0.00060507200000004</v>
      </c>
      <c r="Q54" s="1" t="s">
        <v>10</v>
      </c>
    </row>
    <row r="55" spans="1:17">
      <c r="A55" s="1">
        <v>53</v>
      </c>
      <c r="B55" s="2">
        <v>0</v>
      </c>
      <c r="C55" s="2">
        <v>0</v>
      </c>
      <c r="D55" s="2">
        <v>0</v>
      </c>
      <c r="E55" s="2">
        <v>0</v>
      </c>
      <c r="Q55" s="1" t="s">
        <v>10</v>
      </c>
    </row>
    <row r="56" spans="1:17">
      <c r="A56" s="1">
        <v>54</v>
      </c>
      <c r="B56" s="2">
        <v>0</v>
      </c>
      <c r="C56" s="2">
        <v>0</v>
      </c>
      <c r="D56" s="2">
        <v>0</v>
      </c>
      <c r="E56" s="2">
        <v>0</v>
      </c>
      <c r="Q56" s="1" t="s">
        <v>10</v>
      </c>
    </row>
    <row r="57" spans="1:17">
      <c r="A57" s="1">
        <v>55</v>
      </c>
      <c r="B57" s="2">
        <v>0</v>
      </c>
      <c r="C57" s="2">
        <v>0</v>
      </c>
      <c r="D57" s="2">
        <v>0</v>
      </c>
      <c r="E57" s="2">
        <v>0</v>
      </c>
      <c r="Q57" s="1" t="s">
        <v>10</v>
      </c>
    </row>
    <row r="58" spans="1:17">
      <c r="A58" s="1">
        <v>56</v>
      </c>
      <c r="B58" s="2">
        <v>0.023850347</v>
      </c>
      <c r="C58" s="2">
        <v>0.014074086</v>
      </c>
      <c r="D58" s="2">
        <v>0.042212626</v>
      </c>
      <c r="E58" s="2">
        <v>0.028095063</v>
      </c>
      <c r="Q58" s="1" t="s">
        <v>10</v>
      </c>
    </row>
    <row r="59" spans="1:17">
      <c r="A59" s="1">
        <v>57</v>
      </c>
      <c r="B59" s="2">
        <v>0</v>
      </c>
      <c r="C59" s="2">
        <v>0</v>
      </c>
      <c r="D59" s="2">
        <v>0</v>
      </c>
      <c r="E59" s="2">
        <v>0</v>
      </c>
      <c r="Q59" s="1" t="s">
        <v>10</v>
      </c>
    </row>
    <row r="60" spans="1:17">
      <c r="A60" s="1">
        <v>58</v>
      </c>
      <c r="B60" s="2">
        <v>0.051189862</v>
      </c>
      <c r="C60" s="2">
        <v>0.0432764499999999</v>
      </c>
      <c r="D60" s="2">
        <v>0.05604384</v>
      </c>
      <c r="E60" s="2">
        <v>0.039323174</v>
      </c>
      <c r="Q60" s="1" t="s">
        <v>10</v>
      </c>
    </row>
    <row r="61" spans="1:17">
      <c r="A61" s="1">
        <v>59</v>
      </c>
      <c r="B61" s="2">
        <v>0.030001772</v>
      </c>
      <c r="C61" s="2">
        <v>0.024972211</v>
      </c>
      <c r="D61" s="2">
        <v>0.0253971040000001</v>
      </c>
      <c r="E61" s="2">
        <v>0.018929326</v>
      </c>
      <c r="Q61" s="1" t="s">
        <v>10</v>
      </c>
    </row>
    <row r="62" spans="1:17">
      <c r="A62" s="1">
        <v>60</v>
      </c>
      <c r="B62" s="2">
        <v>0.043741978</v>
      </c>
      <c r="C62" s="2">
        <v>0.051688219</v>
      </c>
      <c r="D62" s="2">
        <v>0.024494017</v>
      </c>
      <c r="E62" s="2">
        <v>0.028513182</v>
      </c>
      <c r="Q62" s="1" t="s">
        <v>10</v>
      </c>
    </row>
    <row r="63" spans="1:17">
      <c r="A63" s="1">
        <v>61</v>
      </c>
      <c r="B63" s="2">
        <v>0.0403668429999999</v>
      </c>
      <c r="C63" s="2">
        <v>0.032529361</v>
      </c>
      <c r="D63" s="2">
        <v>0.048641442</v>
      </c>
      <c r="E63" s="2">
        <v>0.03956581</v>
      </c>
      <c r="Q63" s="1" t="s">
        <v>10</v>
      </c>
    </row>
    <row r="64" spans="1:17">
      <c r="A64" s="1">
        <v>62</v>
      </c>
      <c r="B64" s="2">
        <v>0.031392625</v>
      </c>
      <c r="C64" s="2">
        <v>0.026458998</v>
      </c>
      <c r="D64" s="2">
        <v>0.482226588</v>
      </c>
      <c r="E64" s="2">
        <v>0.495563866</v>
      </c>
      <c r="Q64" s="1" t="s">
        <v>10</v>
      </c>
    </row>
    <row r="65" spans="1:17">
      <c r="A65" s="1">
        <v>63</v>
      </c>
      <c r="B65" s="2">
        <v>0.021649044</v>
      </c>
      <c r="C65" s="2">
        <v>0.052580458</v>
      </c>
      <c r="D65" s="2">
        <v>0.024215866</v>
      </c>
      <c r="E65" s="2">
        <v>0.105644707</v>
      </c>
      <c r="Q65" s="1" t="s">
        <v>10</v>
      </c>
    </row>
    <row r="66" spans="1:17">
      <c r="A66" s="1">
        <v>64</v>
      </c>
      <c r="B66" s="2">
        <v>0.030784903</v>
      </c>
      <c r="C66" s="2">
        <v>0.026910291</v>
      </c>
      <c r="D66" s="2">
        <v>0.016880487</v>
      </c>
      <c r="E66" s="2">
        <v>0.014519874</v>
      </c>
      <c r="Q66" s="1" t="s">
        <v>10</v>
      </c>
    </row>
    <row r="67" spans="1:17">
      <c r="A67" s="1">
        <v>65</v>
      </c>
      <c r="B67" s="2">
        <v>0.024139085</v>
      </c>
      <c r="C67" s="2">
        <v>0.0180679</v>
      </c>
      <c r="D67" s="2">
        <v>0.009634329</v>
      </c>
      <c r="E67" s="2">
        <v>0.00721506</v>
      </c>
      <c r="Q67" s="1" t="s">
        <v>10</v>
      </c>
    </row>
    <row r="68" spans="1:17">
      <c r="A68" s="1">
        <v>66</v>
      </c>
      <c r="B68" s="2">
        <v>0.035644103</v>
      </c>
      <c r="C68" s="2">
        <v>0.030266405</v>
      </c>
      <c r="D68" s="2">
        <v>0.052874152</v>
      </c>
      <c r="E68" s="2">
        <v>0.045018891</v>
      </c>
      <c r="Q68" s="1" t="s">
        <v>10</v>
      </c>
    </row>
    <row r="69" spans="1:17">
      <c r="A69" s="1">
        <v>67</v>
      </c>
      <c r="B69" s="2">
        <v>0</v>
      </c>
      <c r="C69" s="2">
        <v>0</v>
      </c>
      <c r="D69" s="2">
        <v>0</v>
      </c>
      <c r="E69" s="2">
        <v>0</v>
      </c>
      <c r="Q69" s="1" t="s">
        <v>10</v>
      </c>
    </row>
    <row r="70" spans="1:17">
      <c r="A70" s="1">
        <v>68</v>
      </c>
      <c r="B70" s="2">
        <v>0.021442977</v>
      </c>
      <c r="C70" s="2">
        <v>0.016485205</v>
      </c>
      <c r="D70" s="2">
        <v>0.188286101</v>
      </c>
      <c r="E70" s="2">
        <v>0.160788016</v>
      </c>
      <c r="Q70" s="1" t="s">
        <v>10</v>
      </c>
    </row>
    <row r="71" spans="1:17">
      <c r="A71" s="1">
        <v>69</v>
      </c>
      <c r="B71" s="2">
        <v>0.023191325</v>
      </c>
      <c r="C71" s="2">
        <v>0.016879655</v>
      </c>
      <c r="D71" s="2">
        <v>0.064450389</v>
      </c>
      <c r="E71" s="2">
        <v>0.050616828</v>
      </c>
      <c r="Q71" s="1" t="s">
        <v>10</v>
      </c>
    </row>
    <row r="72" spans="1:17">
      <c r="A72" s="1">
        <v>70</v>
      </c>
      <c r="B72" s="2">
        <v>0</v>
      </c>
      <c r="C72" s="2">
        <v>0</v>
      </c>
      <c r="D72" s="2">
        <v>0</v>
      </c>
      <c r="E72" s="2">
        <v>0</v>
      </c>
      <c r="Q72" s="1" t="s">
        <v>10</v>
      </c>
    </row>
    <row r="73" spans="1:17">
      <c r="A73" s="1">
        <v>71</v>
      </c>
      <c r="B73" s="2">
        <v>0</v>
      </c>
      <c r="C73" s="2">
        <v>0</v>
      </c>
      <c r="D73" s="2">
        <v>0</v>
      </c>
      <c r="E73" s="2">
        <v>0</v>
      </c>
      <c r="Q73" s="1" t="s">
        <v>10</v>
      </c>
    </row>
    <row r="74" spans="1:17">
      <c r="A74" s="1">
        <v>72</v>
      </c>
      <c r="B74" s="2">
        <v>0.026349138</v>
      </c>
      <c r="C74" s="2">
        <v>0.021189508</v>
      </c>
      <c r="D74" s="2">
        <v>0.010977929</v>
      </c>
      <c r="E74" s="2">
        <v>0.00860186099999999</v>
      </c>
      <c r="Q74" s="1" t="s">
        <v>10</v>
      </c>
    </row>
    <row r="75" spans="1:17">
      <c r="A75" s="1">
        <v>73</v>
      </c>
      <c r="B75" s="2">
        <v>0.025972061</v>
      </c>
      <c r="C75" s="2">
        <v>0.022310382</v>
      </c>
      <c r="D75" s="2">
        <v>0.018149275</v>
      </c>
      <c r="E75" s="2">
        <v>0.015449103</v>
      </c>
      <c r="Q75" s="1" t="s">
        <v>10</v>
      </c>
    </row>
    <row r="76" spans="1:17">
      <c r="A76" s="1">
        <v>74</v>
      </c>
      <c r="B76" s="2">
        <v>0.049349124</v>
      </c>
      <c r="C76" s="2">
        <v>0.044655262</v>
      </c>
      <c r="D76" s="2">
        <v>0.0719764510000001</v>
      </c>
      <c r="E76" s="2">
        <v>0.064981691</v>
      </c>
      <c r="Q76" s="1" t="s">
        <v>10</v>
      </c>
    </row>
    <row r="77" spans="1:17">
      <c r="A77" s="1">
        <v>75</v>
      </c>
      <c r="B77" s="2">
        <v>0.03486928</v>
      </c>
      <c r="C77" s="2">
        <v>0.028815609</v>
      </c>
      <c r="D77" s="2">
        <v>0.012416817</v>
      </c>
      <c r="E77" s="2">
        <v>0.00969313599999999</v>
      </c>
      <c r="Q77" s="1" t="s">
        <v>10</v>
      </c>
    </row>
    <row r="78" spans="1:17">
      <c r="A78" s="1">
        <v>76</v>
      </c>
      <c r="B78" s="2">
        <v>0.023987795</v>
      </c>
      <c r="C78" s="2">
        <v>0.019988852</v>
      </c>
      <c r="D78" s="2">
        <v>0.289914336</v>
      </c>
      <c r="E78" s="2">
        <v>0.2634113</v>
      </c>
      <c r="Q78" s="1" t="s">
        <v>10</v>
      </c>
    </row>
    <row r="79" spans="1:17">
      <c r="A79" s="1">
        <v>77</v>
      </c>
      <c r="B79" s="2">
        <v>0.044448852</v>
      </c>
      <c r="C79" s="2">
        <v>0.037374838</v>
      </c>
      <c r="D79" s="2">
        <v>0.042638136</v>
      </c>
      <c r="E79" s="2">
        <v>0.035020053</v>
      </c>
      <c r="Q79" s="1" t="s">
        <v>10</v>
      </c>
    </row>
    <row r="80" spans="1:17">
      <c r="A80" s="1">
        <v>78</v>
      </c>
      <c r="B80" s="2">
        <v>0</v>
      </c>
      <c r="C80" s="2">
        <v>0</v>
      </c>
      <c r="D80" s="2">
        <v>0</v>
      </c>
      <c r="E80" s="2">
        <v>0</v>
      </c>
      <c r="Q80" s="1" t="s">
        <v>10</v>
      </c>
    </row>
    <row r="81" spans="1:17">
      <c r="A81" s="1">
        <v>79</v>
      </c>
      <c r="B81" s="2">
        <v>0.027568835</v>
      </c>
      <c r="C81" s="2">
        <v>0.021658746</v>
      </c>
      <c r="D81" s="2">
        <v>0.077752632</v>
      </c>
      <c r="E81" s="2">
        <v>0.065928347</v>
      </c>
      <c r="Q81" s="1" t="s">
        <v>10</v>
      </c>
    </row>
    <row r="82" spans="1:17">
      <c r="A82" s="1">
        <v>80</v>
      </c>
      <c r="B82" s="2">
        <v>0.036263351</v>
      </c>
      <c r="C82" s="2">
        <v>0.022982542</v>
      </c>
      <c r="D82" s="2">
        <v>0.146022846</v>
      </c>
      <c r="E82" s="2">
        <v>0.116492928</v>
      </c>
      <c r="Q82" s="1" t="s">
        <v>10</v>
      </c>
    </row>
    <row r="83" spans="1:17">
      <c r="A83" s="1">
        <v>81</v>
      </c>
      <c r="B83" s="2">
        <v>0.029555417</v>
      </c>
      <c r="C83" s="2">
        <v>0.022648123</v>
      </c>
      <c r="D83" s="2">
        <v>0.083474134</v>
      </c>
      <c r="E83" s="2">
        <v>0.07115779</v>
      </c>
      <c r="Q83" s="1" t="s">
        <v>10</v>
      </c>
    </row>
    <row r="84" spans="1:17">
      <c r="A84" s="1">
        <v>82</v>
      </c>
      <c r="B84" s="2">
        <v>0.03001621</v>
      </c>
      <c r="C84" s="2">
        <v>0.025260903</v>
      </c>
      <c r="D84" s="2">
        <v>0.030076035</v>
      </c>
      <c r="E84" s="2">
        <v>0.025246583</v>
      </c>
      <c r="Q84" s="1" t="s">
        <v>10</v>
      </c>
    </row>
    <row r="85" spans="1:17">
      <c r="A85" s="1">
        <v>83</v>
      </c>
      <c r="B85" s="2">
        <v>0.0258554499999999</v>
      </c>
      <c r="C85" s="2">
        <v>0.018738618</v>
      </c>
      <c r="D85" s="2">
        <v>0.023906419</v>
      </c>
      <c r="E85" s="2">
        <v>0.017707951</v>
      </c>
      <c r="Q85" s="1" t="s">
        <v>10</v>
      </c>
    </row>
    <row r="86" spans="1:17">
      <c r="A86" s="1">
        <v>84</v>
      </c>
      <c r="B86" s="2">
        <v>0.0366562</v>
      </c>
      <c r="C86" s="2">
        <v>0.027321861</v>
      </c>
      <c r="D86" s="2">
        <v>0.073359587</v>
      </c>
      <c r="E86" s="2">
        <v>0.059791038</v>
      </c>
      <c r="Q86" s="1" t="s">
        <v>10</v>
      </c>
    </row>
    <row r="87" spans="1:17">
      <c r="A87" s="1">
        <v>85</v>
      </c>
      <c r="B87" s="2">
        <v>0.019106207</v>
      </c>
      <c r="C87" s="2">
        <v>0.015648687</v>
      </c>
      <c r="D87" s="2">
        <v>0.056489218</v>
      </c>
      <c r="E87" s="2">
        <v>0.048499197</v>
      </c>
      <c r="Q87" s="1" t="s">
        <v>10</v>
      </c>
    </row>
    <row r="88" spans="1:17">
      <c r="A88" s="1">
        <v>86</v>
      </c>
      <c r="B88" s="2">
        <v>0.040627443</v>
      </c>
      <c r="C88" s="2">
        <v>0.032929574</v>
      </c>
      <c r="D88" s="2">
        <v>0.025564048</v>
      </c>
      <c r="E88" s="2">
        <v>0.019058848</v>
      </c>
      <c r="Q88" s="1" t="s">
        <v>10</v>
      </c>
    </row>
    <row r="89" spans="1:17">
      <c r="A89" s="1">
        <v>87</v>
      </c>
      <c r="B89" s="2">
        <v>0.0314366759999999</v>
      </c>
      <c r="C89" s="2">
        <v>0.026238089</v>
      </c>
      <c r="D89" s="2">
        <v>0.014371572</v>
      </c>
      <c r="E89" s="2">
        <v>0.01169652</v>
      </c>
      <c r="Q89" s="1" t="s">
        <v>10</v>
      </c>
    </row>
    <row r="90" spans="1:17">
      <c r="A90" s="1">
        <v>88</v>
      </c>
      <c r="B90" s="2">
        <v>0.030703848</v>
      </c>
      <c r="C90" s="2">
        <v>0.0184741</v>
      </c>
      <c r="D90" s="2">
        <v>0.206201258</v>
      </c>
      <c r="E90" s="2">
        <v>0.156300278</v>
      </c>
      <c r="Q90" s="1" t="s">
        <v>10</v>
      </c>
    </row>
    <row r="91" spans="1:17">
      <c r="A91" s="1">
        <v>89</v>
      </c>
      <c r="B91" s="2">
        <v>0.022534847</v>
      </c>
      <c r="C91" s="2">
        <v>0.020022052</v>
      </c>
      <c r="D91" s="2">
        <v>0.160797179</v>
      </c>
      <c r="E91" s="2">
        <v>0.1501816</v>
      </c>
      <c r="Q91" s="1" t="s">
        <v>10</v>
      </c>
    </row>
    <row r="92" spans="1:17">
      <c r="A92" s="1">
        <v>90</v>
      </c>
      <c r="B92" s="2">
        <v>0</v>
      </c>
      <c r="C92" s="2">
        <v>0</v>
      </c>
      <c r="D92" s="2">
        <v>0</v>
      </c>
      <c r="E92" s="2">
        <v>0</v>
      </c>
      <c r="Q92" s="1" t="s">
        <v>10</v>
      </c>
    </row>
    <row r="93" spans="1:17">
      <c r="A93" s="1">
        <v>91</v>
      </c>
      <c r="B93" s="2">
        <v>0</v>
      </c>
      <c r="C93" s="2">
        <v>0</v>
      </c>
      <c r="D93" s="2">
        <v>0</v>
      </c>
      <c r="E93" s="2">
        <v>0</v>
      </c>
      <c r="Q93" s="1" t="s">
        <v>10</v>
      </c>
    </row>
    <row r="94" spans="1:17">
      <c r="A94" s="1">
        <v>92</v>
      </c>
      <c r="B94" s="2">
        <v>0.024528645</v>
      </c>
      <c r="C94" s="2">
        <v>0.020554909</v>
      </c>
      <c r="D94" s="2">
        <v>0.050611996</v>
      </c>
      <c r="E94" s="2">
        <v>0.043389467</v>
      </c>
      <c r="Q94" s="1" t="s">
        <v>10</v>
      </c>
    </row>
    <row r="95" spans="1:17">
      <c r="A95" s="1">
        <v>93</v>
      </c>
      <c r="B95" s="2">
        <v>0</v>
      </c>
      <c r="C95" s="2">
        <v>0</v>
      </c>
      <c r="D95" s="2">
        <v>0</v>
      </c>
      <c r="E95" s="2">
        <v>0</v>
      </c>
      <c r="Q95" s="1" t="s">
        <v>10</v>
      </c>
    </row>
    <row r="96" spans="1:17">
      <c r="A96" s="1">
        <v>94</v>
      </c>
      <c r="B96" s="2">
        <v>0.025464141</v>
      </c>
      <c r="C96" s="2">
        <v>0.014581505</v>
      </c>
      <c r="D96" s="2">
        <v>0.123736114</v>
      </c>
      <c r="E96" s="2">
        <v>0.08734774</v>
      </c>
      <c r="Q96" s="1" t="s">
        <v>10</v>
      </c>
    </row>
    <row r="97" spans="1:17">
      <c r="A97" s="1">
        <v>95</v>
      </c>
      <c r="B97" s="2">
        <v>0.013656675</v>
      </c>
      <c r="C97" s="2">
        <v>0.006371666</v>
      </c>
      <c r="D97" s="2">
        <v>0.191501779</v>
      </c>
      <c r="E97" s="2">
        <v>0.138319208</v>
      </c>
      <c r="Q97" s="1" t="s">
        <v>10</v>
      </c>
    </row>
    <row r="98" spans="1:17">
      <c r="A98" s="1">
        <v>96</v>
      </c>
      <c r="B98" s="2">
        <v>0.0378389499999999</v>
      </c>
      <c r="C98" s="2">
        <v>0.03140619</v>
      </c>
      <c r="D98" s="2">
        <v>0.017194368</v>
      </c>
      <c r="E98" s="2">
        <v>0.014375335</v>
      </c>
      <c r="Q98" s="1" t="s">
        <v>10</v>
      </c>
    </row>
    <row r="99" spans="1:17">
      <c r="A99" s="1">
        <v>97</v>
      </c>
      <c r="B99" s="2">
        <v>0.03131836</v>
      </c>
      <c r="C99" s="2">
        <v>0.025620877</v>
      </c>
      <c r="D99" s="2">
        <v>0.00763699200000001</v>
      </c>
      <c r="E99" s="2">
        <v>0.00604984799999997</v>
      </c>
      <c r="Q99" s="1" t="s">
        <v>10</v>
      </c>
    </row>
    <row r="100" spans="1:17">
      <c r="A100" s="1">
        <v>98</v>
      </c>
      <c r="B100" s="2">
        <v>0.0459130679999999</v>
      </c>
      <c r="C100" s="2">
        <v>0.036634053</v>
      </c>
      <c r="D100" s="2">
        <v>0.015561007</v>
      </c>
      <c r="E100" s="2">
        <v>0.012755769</v>
      </c>
      <c r="Q100" s="1" t="s">
        <v>10</v>
      </c>
    </row>
    <row r="101" spans="1:17">
      <c r="A101" s="1">
        <v>99</v>
      </c>
      <c r="B101" s="2">
        <v>0.027757806</v>
      </c>
      <c r="C101" s="2">
        <v>0.020621556</v>
      </c>
      <c r="D101" s="2">
        <v>0.020887529</v>
      </c>
      <c r="E101" s="2">
        <v>0.0155602560000001</v>
      </c>
      <c r="Q101" s="1" t="s">
        <v>10</v>
      </c>
    </row>
    <row r="102" spans="1:17">
      <c r="A102" s="1">
        <v>100</v>
      </c>
      <c r="B102" s="2">
        <v>0.029985689</v>
      </c>
      <c r="C102" s="2">
        <v>0.024182008</v>
      </c>
      <c r="D102" s="2">
        <v>0.018922462</v>
      </c>
      <c r="E102" s="2">
        <v>0.015164119</v>
      </c>
      <c r="Q102" s="1" t="s">
        <v>10</v>
      </c>
    </row>
    <row r="103" spans="1:17">
      <c r="A103" s="1">
        <v>101</v>
      </c>
      <c r="B103" s="2">
        <v>0.053160128</v>
      </c>
      <c r="C103" s="2">
        <v>0.046621325</v>
      </c>
      <c r="D103" s="2">
        <v>0.058963251</v>
      </c>
      <c r="E103" s="2">
        <v>0.048514036</v>
      </c>
      <c r="Q103" s="1" t="s">
        <v>10</v>
      </c>
    </row>
    <row r="104" spans="1:17">
      <c r="A104" s="1">
        <v>102</v>
      </c>
      <c r="B104" s="2">
        <v>0.025756206</v>
      </c>
      <c r="C104" s="2">
        <v>0.021985803</v>
      </c>
      <c r="D104" s="2">
        <v>0.00611080800000002</v>
      </c>
      <c r="E104" s="2">
        <v>0.00488896099999997</v>
      </c>
      <c r="Q104" s="1" t="s">
        <v>10</v>
      </c>
    </row>
    <row r="105" spans="1:17">
      <c r="A105" s="1">
        <v>103</v>
      </c>
      <c r="B105" s="2">
        <v>0.022654495</v>
      </c>
      <c r="C105" s="2">
        <v>0.019158942</v>
      </c>
      <c r="D105" s="2">
        <v>0.025297535</v>
      </c>
      <c r="E105" s="2">
        <v>0.021890896</v>
      </c>
      <c r="Q105" s="1" t="s">
        <v>10</v>
      </c>
    </row>
    <row r="106" spans="1:17">
      <c r="A106" s="1">
        <v>104</v>
      </c>
      <c r="B106" s="2">
        <v>0</v>
      </c>
      <c r="C106" s="2">
        <v>0</v>
      </c>
      <c r="D106" s="2">
        <v>0</v>
      </c>
      <c r="E106" s="2">
        <v>0</v>
      </c>
      <c r="Q106" s="1" t="s">
        <v>10</v>
      </c>
    </row>
    <row r="107" spans="1:17">
      <c r="A107" s="1">
        <v>105</v>
      </c>
      <c r="B107" s="2">
        <v>0.02381268</v>
      </c>
      <c r="C107" s="2">
        <v>0.018665272</v>
      </c>
      <c r="D107" s="2">
        <v>0.100582404</v>
      </c>
      <c r="E107" s="2">
        <v>0.084970073</v>
      </c>
      <c r="Q107" s="1" t="s">
        <v>10</v>
      </c>
    </row>
    <row r="108" spans="1:17">
      <c r="A108" s="1">
        <v>106</v>
      </c>
      <c r="B108" s="2">
        <v>0</v>
      </c>
      <c r="C108" s="2">
        <v>0.00441755200000005</v>
      </c>
      <c r="D108" s="2">
        <v>0</v>
      </c>
      <c r="E108" s="2">
        <v>0.00441755200000005</v>
      </c>
      <c r="Q108" s="1" t="s">
        <v>10</v>
      </c>
    </row>
    <row r="109" spans="1:17">
      <c r="A109" s="1">
        <v>107</v>
      </c>
      <c r="B109" s="2">
        <v>0.0392362940000001</v>
      </c>
      <c r="C109" s="2">
        <v>0.031557433</v>
      </c>
      <c r="D109" s="2">
        <v>0.060168502</v>
      </c>
      <c r="E109" s="2">
        <v>0.0513152570000001</v>
      </c>
      <c r="Q109" s="1" t="s">
        <v>10</v>
      </c>
    </row>
    <row r="110" spans="1:17">
      <c r="A110" s="1">
        <v>108</v>
      </c>
      <c r="B110" s="2">
        <v>0</v>
      </c>
      <c r="C110" s="2">
        <v>0</v>
      </c>
      <c r="D110" s="2">
        <v>0</v>
      </c>
      <c r="E110" s="2">
        <v>0</v>
      </c>
      <c r="Q110" s="1" t="s">
        <v>10</v>
      </c>
    </row>
    <row r="111" spans="1:17">
      <c r="A111" s="1">
        <v>109</v>
      </c>
      <c r="B111" s="2">
        <v>0.004057742</v>
      </c>
      <c r="C111" s="2">
        <v>0.002398016</v>
      </c>
      <c r="D111" s="2">
        <v>0.236754815</v>
      </c>
      <c r="E111" s="2">
        <v>0.193819781</v>
      </c>
      <c r="Q111" s="1" t="s">
        <v>10</v>
      </c>
    </row>
    <row r="112" spans="1:17">
      <c r="A112" s="1">
        <v>110</v>
      </c>
      <c r="B112" s="2">
        <v>0.053657516</v>
      </c>
      <c r="C112" s="2">
        <v>0.0518676929999999</v>
      </c>
      <c r="D112" s="2">
        <v>0.012916495</v>
      </c>
      <c r="E112" s="2">
        <v>0.0121922219999999</v>
      </c>
      <c r="Q112" s="1" t="s">
        <v>10</v>
      </c>
    </row>
    <row r="113" spans="1:17">
      <c r="A113" s="1">
        <v>111</v>
      </c>
      <c r="B113" s="2">
        <v>0.020566154</v>
      </c>
      <c r="C113" s="2">
        <v>0.01877964</v>
      </c>
      <c r="D113" s="2">
        <v>0.011833043</v>
      </c>
      <c r="E113" s="2">
        <v>0.010411822</v>
      </c>
      <c r="Q113" s="1" t="s">
        <v>10</v>
      </c>
    </row>
    <row r="114" spans="1:17">
      <c r="A114" s="1">
        <v>112</v>
      </c>
      <c r="B114" s="2">
        <v>0</v>
      </c>
      <c r="C114" s="2">
        <v>0</v>
      </c>
      <c r="D114" s="2">
        <v>0</v>
      </c>
      <c r="E114" s="2">
        <v>0</v>
      </c>
      <c r="Q114" s="1" t="s">
        <v>10</v>
      </c>
    </row>
    <row r="115" spans="1:17">
      <c r="A115" s="1">
        <v>113</v>
      </c>
      <c r="B115" s="2">
        <v>0.052004144</v>
      </c>
      <c r="C115" s="2">
        <v>0.0495832150000001</v>
      </c>
      <c r="D115" s="2">
        <v>0.031084908</v>
      </c>
      <c r="E115" s="2">
        <v>0.026264288</v>
      </c>
      <c r="Q115" s="1" t="s">
        <v>10</v>
      </c>
    </row>
    <row r="116" spans="1:17">
      <c r="A116" s="1">
        <v>114</v>
      </c>
      <c r="B116" s="2">
        <v>0.0404801419999999</v>
      </c>
      <c r="C116" s="2">
        <v>0.027861796</v>
      </c>
      <c r="D116" s="2">
        <v>0.03542132</v>
      </c>
      <c r="E116" s="2">
        <v>0.023861167</v>
      </c>
      <c r="Q116" s="1" t="s">
        <v>10</v>
      </c>
    </row>
    <row r="117" spans="1:17">
      <c r="A117" s="1">
        <v>115</v>
      </c>
      <c r="B117" s="2">
        <v>0.019584254</v>
      </c>
      <c r="C117" s="2">
        <v>0.013454688</v>
      </c>
      <c r="D117" s="2">
        <v>0.043854705</v>
      </c>
      <c r="E117" s="2">
        <v>0.032326574</v>
      </c>
      <c r="Q117" s="1" t="s">
        <v>10</v>
      </c>
    </row>
    <row r="118" spans="1:17">
      <c r="A118" s="1">
        <v>116</v>
      </c>
      <c r="B118" s="2">
        <v>0.059198706</v>
      </c>
      <c r="C118" s="2">
        <v>0.045919273</v>
      </c>
      <c r="D118" s="2">
        <v>0.174150888</v>
      </c>
      <c r="E118" s="2">
        <v>0.185520255</v>
      </c>
      <c r="Q118" s="1" t="s">
        <v>10</v>
      </c>
    </row>
    <row r="119" spans="1:17">
      <c r="A119" s="1">
        <v>117</v>
      </c>
      <c r="B119" s="2">
        <v>0.03748459</v>
      </c>
      <c r="C119" s="2">
        <v>0.029028491</v>
      </c>
      <c r="D119" s="2">
        <v>0.068402308</v>
      </c>
      <c r="E119" s="2">
        <v>0.058223606</v>
      </c>
      <c r="Q119" s="1" t="s">
        <v>10</v>
      </c>
    </row>
    <row r="120" spans="1:17">
      <c r="A120" s="1">
        <v>118</v>
      </c>
      <c r="B120" s="2">
        <v>0.047183325</v>
      </c>
      <c r="C120" s="2">
        <v>0.037951052</v>
      </c>
      <c r="D120" s="2">
        <v>0.042024384</v>
      </c>
      <c r="E120" s="2">
        <v>0.028788741</v>
      </c>
      <c r="Q120" s="1" t="s">
        <v>10</v>
      </c>
    </row>
    <row r="121" spans="1:17">
      <c r="A121" s="1">
        <v>119</v>
      </c>
      <c r="B121" s="2">
        <v>0</v>
      </c>
      <c r="C121" s="2">
        <v>0</v>
      </c>
      <c r="D121" s="2">
        <v>0</v>
      </c>
      <c r="E121" s="2">
        <v>0</v>
      </c>
      <c r="Q121" s="1" t="s">
        <v>10</v>
      </c>
    </row>
    <row r="122" spans="1:17">
      <c r="A122" s="1">
        <v>120</v>
      </c>
      <c r="B122" s="2">
        <v>0.035265366</v>
      </c>
      <c r="C122" s="2">
        <v>0.026987206</v>
      </c>
      <c r="D122" s="2">
        <v>0.023292239</v>
      </c>
      <c r="E122" s="2">
        <v>0.017874383</v>
      </c>
      <c r="Q122" s="1" t="s">
        <v>10</v>
      </c>
    </row>
    <row r="123" spans="1:17">
      <c r="A123" s="1">
        <v>121</v>
      </c>
      <c r="B123" s="2">
        <v>0</v>
      </c>
      <c r="C123" s="2">
        <v>0</v>
      </c>
      <c r="D123" s="2">
        <v>0</v>
      </c>
      <c r="E123" s="2">
        <v>0</v>
      </c>
      <c r="Q123" s="1" t="s">
        <v>10</v>
      </c>
    </row>
    <row r="124" spans="1:17">
      <c r="A124" s="1">
        <v>122</v>
      </c>
      <c r="B124" s="2">
        <v>0</v>
      </c>
      <c r="C124" s="2">
        <v>0</v>
      </c>
      <c r="D124" s="2">
        <v>0</v>
      </c>
      <c r="E124" s="2">
        <v>0</v>
      </c>
      <c r="Q124" s="1" t="s">
        <v>10</v>
      </c>
    </row>
    <row r="125" spans="1:17">
      <c r="A125" s="1">
        <v>123</v>
      </c>
      <c r="B125" s="2">
        <v>0</v>
      </c>
      <c r="C125" s="2">
        <v>0</v>
      </c>
      <c r="D125" s="2">
        <v>0</v>
      </c>
      <c r="E125" s="2">
        <v>0.752776749</v>
      </c>
      <c r="Q125" s="1" t="s">
        <v>10</v>
      </c>
    </row>
    <row r="126" spans="1:17">
      <c r="A126" s="1">
        <v>124</v>
      </c>
      <c r="B126" s="2">
        <v>0.026412891</v>
      </c>
      <c r="C126" s="2">
        <v>0.01980111</v>
      </c>
      <c r="D126" s="2">
        <v>0.155839724</v>
      </c>
      <c r="E126" s="2">
        <v>0.128148134</v>
      </c>
      <c r="Q126" s="1" t="s">
        <v>10</v>
      </c>
    </row>
    <row r="127" spans="1:17">
      <c r="A127" s="1">
        <v>125</v>
      </c>
      <c r="B127" s="2">
        <v>0.028597903</v>
      </c>
      <c r="C127" s="2">
        <v>0.0237844</v>
      </c>
      <c r="D127" s="2">
        <v>0.010164686</v>
      </c>
      <c r="E127" s="2">
        <v>0.00806189899999998</v>
      </c>
      <c r="Q127" s="1" t="s">
        <v>10</v>
      </c>
    </row>
    <row r="128" spans="1:17">
      <c r="A128" s="1">
        <v>126</v>
      </c>
      <c r="B128" s="2">
        <v>0.036293751</v>
      </c>
      <c r="C128" s="2">
        <v>0.018779978</v>
      </c>
      <c r="D128" s="2">
        <v>0.119391388</v>
      </c>
      <c r="E128" s="2">
        <v>0.082371522</v>
      </c>
      <c r="Q128" s="1" t="s">
        <v>10</v>
      </c>
    </row>
    <row r="129" spans="1:17">
      <c r="A129" s="1">
        <v>127</v>
      </c>
      <c r="B129" s="2">
        <v>0.0493113169999999</v>
      </c>
      <c r="C129" s="2">
        <v>0.040567758</v>
      </c>
      <c r="D129" s="2">
        <v>0.030916956</v>
      </c>
      <c r="E129" s="2">
        <v>0.017469702</v>
      </c>
      <c r="Q129" s="1" t="s">
        <v>10</v>
      </c>
    </row>
    <row r="130" spans="1:17">
      <c r="A130" s="1">
        <v>128</v>
      </c>
      <c r="B130" s="2">
        <v>0.0549441399999999</v>
      </c>
      <c r="C130" s="2">
        <v>0.048864857</v>
      </c>
      <c r="D130" s="2">
        <v>0.027488466</v>
      </c>
      <c r="E130" s="2">
        <v>0.0199022090000001</v>
      </c>
      <c r="Q130" s="1" t="s">
        <v>10</v>
      </c>
    </row>
    <row r="131" spans="1:17">
      <c r="A131" s="1">
        <v>129</v>
      </c>
      <c r="B131" s="2">
        <v>0.039053382</v>
      </c>
      <c r="C131" s="2">
        <v>0.033109978</v>
      </c>
      <c r="D131" s="2">
        <v>0.027964154</v>
      </c>
      <c r="E131" s="2">
        <v>0.021982755</v>
      </c>
      <c r="Q131" s="1" t="s">
        <v>10</v>
      </c>
    </row>
    <row r="132" spans="1:17">
      <c r="A132" s="1">
        <v>130</v>
      </c>
      <c r="B132" s="2">
        <v>0.0429925350000001</v>
      </c>
      <c r="C132" s="2">
        <v>0.0340908049999999</v>
      </c>
      <c r="D132" s="2">
        <v>0.0196094950000001</v>
      </c>
      <c r="E132" s="2">
        <v>0.013614218</v>
      </c>
      <c r="Q132" s="1" t="s">
        <v>10</v>
      </c>
    </row>
    <row r="133" spans="1:17">
      <c r="A133" s="1">
        <v>131</v>
      </c>
      <c r="B133" s="2">
        <v>0.039367291</v>
      </c>
      <c r="C133" s="2">
        <v>0.033272434</v>
      </c>
      <c r="D133" s="2">
        <v>0.033176149</v>
      </c>
      <c r="E133" s="2">
        <v>0.026698001</v>
      </c>
      <c r="Q133" s="1" t="s">
        <v>10</v>
      </c>
    </row>
    <row r="134" spans="1:17">
      <c r="A134" s="1">
        <v>132</v>
      </c>
      <c r="B134" s="2">
        <v>0.0489775490000001</v>
      </c>
      <c r="C134" s="2">
        <v>0.0361734970000001</v>
      </c>
      <c r="D134" s="2">
        <v>0.05626407</v>
      </c>
      <c r="E134" s="2">
        <v>0.039471096</v>
      </c>
      <c r="Q134" s="1" t="s">
        <v>10</v>
      </c>
    </row>
    <row r="135" spans="1:17">
      <c r="A135" s="1">
        <v>133</v>
      </c>
      <c r="B135" s="2">
        <v>0.045981324</v>
      </c>
      <c r="C135" s="2">
        <v>0.040561688</v>
      </c>
      <c r="D135" s="2">
        <v>0.024697136</v>
      </c>
      <c r="E135" s="2">
        <v>0.0178737400000001</v>
      </c>
      <c r="Q135" s="1" t="s">
        <v>10</v>
      </c>
    </row>
    <row r="136" spans="1:17">
      <c r="A136" s="1">
        <v>134</v>
      </c>
      <c r="B136" s="2">
        <v>0.046183447</v>
      </c>
      <c r="C136" s="2">
        <v>0.0421966890000001</v>
      </c>
      <c r="D136" s="2">
        <v>0.040022713</v>
      </c>
      <c r="E136" s="2">
        <v>0.035618762</v>
      </c>
      <c r="Q136" s="1" t="s">
        <v>10</v>
      </c>
    </row>
    <row r="137" spans="1:17">
      <c r="A137" s="1">
        <v>135</v>
      </c>
      <c r="B137" s="2">
        <v>0.043554764</v>
      </c>
      <c r="C137" s="2">
        <v>0.034574436</v>
      </c>
      <c r="D137" s="2">
        <v>0.027945963</v>
      </c>
      <c r="E137" s="2">
        <v>0.0190414880000001</v>
      </c>
      <c r="Q137" s="1" t="s">
        <v>10</v>
      </c>
    </row>
    <row r="138" spans="1:17">
      <c r="A138" s="1">
        <v>136</v>
      </c>
      <c r="B138" s="2">
        <v>0.0303914179999999</v>
      </c>
      <c r="C138" s="2">
        <v>0.025944829</v>
      </c>
      <c r="D138" s="2">
        <v>0.045983282</v>
      </c>
      <c r="E138" s="2">
        <v>0.038783791</v>
      </c>
      <c r="Q138" s="1" t="s">
        <v>10</v>
      </c>
    </row>
    <row r="139" spans="1:17">
      <c r="A139" s="1">
        <v>137</v>
      </c>
      <c r="B139" s="2">
        <v>0.039138559</v>
      </c>
      <c r="C139" s="2">
        <v>0.033344073</v>
      </c>
      <c r="D139" s="2">
        <v>0.03046655</v>
      </c>
      <c r="E139" s="2">
        <v>0.0245656369999999</v>
      </c>
      <c r="Q139" s="1" t="s">
        <v>10</v>
      </c>
    </row>
    <row r="140" spans="1:17">
      <c r="A140" s="1">
        <v>138</v>
      </c>
      <c r="B140" s="2">
        <v>0.051170697</v>
      </c>
      <c r="C140" s="2">
        <v>0.049352209</v>
      </c>
      <c r="D140" s="2">
        <v>0.080436027</v>
      </c>
      <c r="E140" s="2">
        <v>0.082903025</v>
      </c>
      <c r="Q140" s="1" t="s">
        <v>10</v>
      </c>
    </row>
    <row r="141" spans="1:17">
      <c r="A141" s="1">
        <v>139</v>
      </c>
      <c r="B141" s="2">
        <v>0</v>
      </c>
      <c r="C141" s="2">
        <v>0</v>
      </c>
      <c r="D141" s="2">
        <v>0</v>
      </c>
      <c r="E141" s="2">
        <v>0</v>
      </c>
      <c r="Q141" s="1" t="s">
        <v>10</v>
      </c>
    </row>
    <row r="142" spans="1:17">
      <c r="A142" s="1">
        <v>140</v>
      </c>
      <c r="B142" s="2">
        <v>0.028601232</v>
      </c>
      <c r="C142" s="2">
        <v>0.023497655</v>
      </c>
      <c r="D142" s="2">
        <v>0.060476066</v>
      </c>
      <c r="E142" s="2">
        <v>0.051613019</v>
      </c>
      <c r="Q142" s="1" t="s">
        <v>10</v>
      </c>
    </row>
    <row r="143" spans="1:17">
      <c r="A143" s="1">
        <v>141</v>
      </c>
      <c r="B143" s="2">
        <v>0.025688421</v>
      </c>
      <c r="C143" s="2">
        <v>0.021442355</v>
      </c>
      <c r="D143" s="2">
        <v>0.066628622</v>
      </c>
      <c r="E143" s="2">
        <v>0.058093704</v>
      </c>
      <c r="Q143" s="1" t="s">
        <v>10</v>
      </c>
    </row>
    <row r="144" spans="1:17">
      <c r="A144" s="1">
        <v>142</v>
      </c>
      <c r="B144" s="2">
        <v>0.0674001070000001</v>
      </c>
      <c r="C144" s="2">
        <v>0.0484906349999999</v>
      </c>
      <c r="D144" s="2">
        <v>0.149814664</v>
      </c>
      <c r="E144" s="2">
        <v>0.349392087</v>
      </c>
      <c r="Q144" s="1" t="s">
        <v>10</v>
      </c>
    </row>
    <row r="145" spans="1:17">
      <c r="A145" s="1">
        <v>143</v>
      </c>
      <c r="B145" s="2">
        <v>0.022737072</v>
      </c>
      <c r="C145" s="2">
        <v>0.017323128</v>
      </c>
      <c r="D145" s="2">
        <v>0.018097214</v>
      </c>
      <c r="E145" s="2">
        <v>0.013641239</v>
      </c>
      <c r="Q145" s="1" t="s">
        <v>10</v>
      </c>
    </row>
    <row r="146" spans="1:17">
      <c r="A146" s="1">
        <v>144</v>
      </c>
      <c r="B146" s="2">
        <v>0.041888473</v>
      </c>
      <c r="C146" s="2">
        <v>0.038092677</v>
      </c>
      <c r="D146" s="2">
        <v>0.017031218</v>
      </c>
      <c r="E146" s="2">
        <v>0.0131350469999999</v>
      </c>
      <c r="Q146" s="1" t="s">
        <v>10</v>
      </c>
    </row>
    <row r="147" spans="1:17">
      <c r="A147" s="1">
        <v>145</v>
      </c>
      <c r="B147" s="2">
        <v>0.055062634</v>
      </c>
      <c r="C147" s="2">
        <v>0.058061768</v>
      </c>
      <c r="D147" s="2">
        <v>0.05141216</v>
      </c>
      <c r="E147" s="2">
        <v>0.054201823</v>
      </c>
      <c r="Q147" s="1" t="s">
        <v>10</v>
      </c>
    </row>
    <row r="148" spans="1:17">
      <c r="A148" s="1">
        <v>146</v>
      </c>
      <c r="B148" s="2">
        <v>0.032973943</v>
      </c>
      <c r="C148" s="2">
        <v>0.028733755</v>
      </c>
      <c r="D148" s="2">
        <v>0.025683844</v>
      </c>
      <c r="E148" s="2">
        <v>0.021056948</v>
      </c>
      <c r="Q148" s="1" t="s">
        <v>10</v>
      </c>
    </row>
    <row r="149" spans="1:17">
      <c r="A149" s="1">
        <v>147</v>
      </c>
      <c r="B149" s="2">
        <v>0.0336802890000001</v>
      </c>
      <c r="C149" s="2">
        <v>0.023426754</v>
      </c>
      <c r="D149" s="2">
        <v>0.0149064320000001</v>
      </c>
      <c r="E149" s="2">
        <v>0.010020335</v>
      </c>
      <c r="Q149" s="1" t="s">
        <v>10</v>
      </c>
    </row>
    <row r="150" spans="1:17">
      <c r="A150" s="1">
        <v>148</v>
      </c>
      <c r="B150" s="2">
        <v>0.021730636</v>
      </c>
      <c r="C150" s="2">
        <v>0.009458153</v>
      </c>
      <c r="D150" s="2">
        <v>0.00310331000000003</v>
      </c>
      <c r="E150" s="2">
        <v>0.00145647199999999</v>
      </c>
      <c r="Q150" s="1" t="s">
        <v>10</v>
      </c>
    </row>
    <row r="151" spans="1:17">
      <c r="A151" s="1">
        <v>149</v>
      </c>
      <c r="B151" s="2">
        <v>0.0454789259999999</v>
      </c>
      <c r="C151" s="2">
        <v>0.0383757530000001</v>
      </c>
      <c r="D151" s="2">
        <v>0.0559131319999999</v>
      </c>
      <c r="E151" s="2">
        <v>0.047353924</v>
      </c>
      <c r="Q151" s="1" t="s">
        <v>10</v>
      </c>
    </row>
    <row r="152" spans="1:17">
      <c r="A152" s="1">
        <v>150</v>
      </c>
      <c r="B152" s="2">
        <v>0.032892059</v>
      </c>
      <c r="C152" s="2">
        <v>0.025741189</v>
      </c>
      <c r="D152" s="2">
        <v>0.0128570510000001</v>
      </c>
      <c r="E152" s="2">
        <v>0.009921717</v>
      </c>
      <c r="Q152" s="1" t="s">
        <v>10</v>
      </c>
    </row>
    <row r="153" spans="1:17">
      <c r="A153" s="1">
        <v>151</v>
      </c>
      <c r="B153" s="2">
        <v>0</v>
      </c>
      <c r="C153" s="2">
        <v>0</v>
      </c>
      <c r="D153" s="2">
        <v>0</v>
      </c>
      <c r="E153" s="2">
        <v>0</v>
      </c>
      <c r="Q153" s="1" t="s">
        <v>10</v>
      </c>
    </row>
    <row r="154" spans="1:17">
      <c r="A154" s="1">
        <v>152</v>
      </c>
      <c r="B154" s="2">
        <v>0.052024625</v>
      </c>
      <c r="C154" s="2">
        <v>0.045714893</v>
      </c>
      <c r="D154" s="2">
        <v>0.118162232</v>
      </c>
      <c r="E154" s="2">
        <v>0.169192345</v>
      </c>
      <c r="Q154" s="1" t="s">
        <v>10</v>
      </c>
    </row>
    <row r="155" spans="1:17">
      <c r="A155" s="1">
        <v>153</v>
      </c>
      <c r="B155" s="2">
        <v>0.027272077</v>
      </c>
      <c r="C155" s="2">
        <v>0.021167838</v>
      </c>
      <c r="D155" s="2">
        <v>0.086735612</v>
      </c>
      <c r="E155" s="2">
        <v>0.072061622</v>
      </c>
      <c r="Q155" s="1" t="s">
        <v>10</v>
      </c>
    </row>
    <row r="156" spans="1:17">
      <c r="A156" s="1">
        <v>154</v>
      </c>
      <c r="B156" s="2">
        <v>0.041297311</v>
      </c>
      <c r="C156" s="2">
        <v>0.024146558</v>
      </c>
      <c r="D156" s="2">
        <v>0.031846389</v>
      </c>
      <c r="E156" s="2">
        <v>0.018609119</v>
      </c>
      <c r="Q156" s="1" t="s">
        <v>10</v>
      </c>
    </row>
    <row r="157" spans="1:17">
      <c r="A157" s="1">
        <v>155</v>
      </c>
      <c r="B157" s="2">
        <v>0.011349771</v>
      </c>
      <c r="C157" s="2">
        <v>0.00801284700000002</v>
      </c>
      <c r="D157" s="2">
        <v>0.059100021</v>
      </c>
      <c r="E157" s="2">
        <v>0.045521891</v>
      </c>
      <c r="Q157" s="1" t="s">
        <v>10</v>
      </c>
    </row>
    <row r="158" spans="1:17">
      <c r="A158" s="1">
        <v>156</v>
      </c>
      <c r="B158" s="2">
        <v>0.00952297799999999</v>
      </c>
      <c r="C158" s="2">
        <v>0.00510267499999997</v>
      </c>
      <c r="D158" s="2">
        <v>0.110900377</v>
      </c>
      <c r="E158" s="2">
        <v>0.078119921</v>
      </c>
      <c r="Q158" s="1" t="s">
        <v>10</v>
      </c>
    </row>
    <row r="159" spans="1:17">
      <c r="A159" s="1">
        <v>157</v>
      </c>
      <c r="B159" s="2">
        <v>0</v>
      </c>
      <c r="C159" s="2">
        <v>0</v>
      </c>
      <c r="D159" s="2">
        <v>0</v>
      </c>
      <c r="E159" s="2">
        <v>0</v>
      </c>
      <c r="Q159" s="1" t="s">
        <v>10</v>
      </c>
    </row>
    <row r="160" spans="1:17">
      <c r="A160" s="1">
        <v>158</v>
      </c>
      <c r="B160" s="2">
        <v>0.0554201870000001</v>
      </c>
      <c r="C160" s="2">
        <v>0.049293872</v>
      </c>
      <c r="D160" s="2">
        <v>0.0627102930000001</v>
      </c>
      <c r="E160" s="2">
        <v>0.0520101730000001</v>
      </c>
      <c r="Q160" s="1" t="s">
        <v>10</v>
      </c>
    </row>
    <row r="161" spans="1:17">
      <c r="A161" s="1">
        <v>159</v>
      </c>
      <c r="B161" s="2">
        <v>0</v>
      </c>
      <c r="C161" s="2">
        <v>0</v>
      </c>
      <c r="D161" s="2">
        <v>0</v>
      </c>
      <c r="E161" s="2">
        <v>0</v>
      </c>
      <c r="Q161" s="1" t="s">
        <v>10</v>
      </c>
    </row>
    <row r="162" spans="1:17">
      <c r="A162" s="1">
        <v>160</v>
      </c>
      <c r="B162" s="2">
        <v>0.03561052</v>
      </c>
      <c r="C162" s="2">
        <v>0.027590585</v>
      </c>
      <c r="D162" s="2">
        <v>0.012264736</v>
      </c>
      <c r="E162" s="2">
        <v>0.008394546</v>
      </c>
      <c r="Q162" s="1" t="s">
        <v>10</v>
      </c>
    </row>
    <row r="163" spans="1:17">
      <c r="A163" s="1">
        <v>161</v>
      </c>
      <c r="B163" s="2">
        <v>0.027888531</v>
      </c>
      <c r="C163" s="2">
        <v>0.021349</v>
      </c>
      <c r="D163" s="2">
        <v>0.00987483499999997</v>
      </c>
      <c r="E163" s="2">
        <v>0.00733744199999997</v>
      </c>
      <c r="Q163" s="1" t="s">
        <v>10</v>
      </c>
    </row>
    <row r="164" spans="1:17">
      <c r="A164" s="1">
        <v>162</v>
      </c>
      <c r="B164" s="2">
        <v>0.010220918</v>
      </c>
      <c r="C164" s="2">
        <v>0.00642792</v>
      </c>
      <c r="D164" s="2">
        <v>0.043663732</v>
      </c>
      <c r="E164" s="2">
        <v>0.032484523</v>
      </c>
      <c r="Q164" s="1" t="s">
        <v>10</v>
      </c>
    </row>
    <row r="165" spans="1:17">
      <c r="A165" s="1">
        <v>163</v>
      </c>
      <c r="B165" s="2">
        <v>0</v>
      </c>
      <c r="C165" s="2">
        <v>0</v>
      </c>
      <c r="D165" s="2">
        <v>0</v>
      </c>
      <c r="E165" s="2">
        <v>0</v>
      </c>
      <c r="Q165" s="1" t="s">
        <v>10</v>
      </c>
    </row>
    <row r="166" spans="1:17">
      <c r="A166" s="1">
        <v>164</v>
      </c>
      <c r="B166" s="2">
        <v>0.025935742</v>
      </c>
      <c r="C166" s="2">
        <v>0.014705868</v>
      </c>
      <c r="D166" s="2">
        <v>0.209134585</v>
      </c>
      <c r="E166" s="2">
        <v>0.152661309</v>
      </c>
      <c r="Q166" s="1" t="s">
        <v>10</v>
      </c>
    </row>
    <row r="167" spans="1:17">
      <c r="A167" s="1">
        <v>165</v>
      </c>
      <c r="B167" s="2">
        <v>0.0445703329999999</v>
      </c>
      <c r="C167" s="2">
        <v>0.0298579839999999</v>
      </c>
      <c r="D167" s="2">
        <v>0.0474688639999999</v>
      </c>
      <c r="E167" s="2">
        <v>0.028078348</v>
      </c>
      <c r="Q167" s="1" t="s">
        <v>10</v>
      </c>
    </row>
    <row r="168" spans="1:17">
      <c r="A168" s="1">
        <v>166</v>
      </c>
      <c r="B168" s="2">
        <v>0.026528433</v>
      </c>
      <c r="C168" s="2">
        <v>0.023433891</v>
      </c>
      <c r="D168" s="2">
        <v>0.055905795</v>
      </c>
      <c r="E168" s="2">
        <v>0.048937665</v>
      </c>
      <c r="Q168" s="1" t="s">
        <v>10</v>
      </c>
    </row>
    <row r="169" spans="1:17">
      <c r="A169" s="1">
        <v>167</v>
      </c>
      <c r="B169" s="2">
        <v>0.028703544</v>
      </c>
      <c r="C169" s="2">
        <v>0.02062678</v>
      </c>
      <c r="D169" s="2">
        <v>0.019721308</v>
      </c>
      <c r="E169" s="2">
        <v>0.0141018</v>
      </c>
      <c r="Q169" s="1" t="s">
        <v>10</v>
      </c>
    </row>
    <row r="170" spans="1:17">
      <c r="A170" s="1">
        <v>168</v>
      </c>
      <c r="B170" s="2">
        <v>0.031260657</v>
      </c>
      <c r="C170" s="2">
        <v>0.024067576</v>
      </c>
      <c r="D170" s="2">
        <v>0.012045845</v>
      </c>
      <c r="E170" s="2">
        <v>0.009043998</v>
      </c>
      <c r="Q170" s="1" t="s">
        <v>10</v>
      </c>
    </row>
    <row r="171" spans="1:17">
      <c r="A171" s="1">
        <v>169</v>
      </c>
      <c r="B171" s="2">
        <v>0.0465968210000001</v>
      </c>
      <c r="C171" s="2">
        <v>0.0406569069999999</v>
      </c>
      <c r="D171" s="2">
        <v>0.0941230000000001</v>
      </c>
      <c r="E171" s="2">
        <v>0.081578038</v>
      </c>
      <c r="Q171" s="1" t="s">
        <v>10</v>
      </c>
    </row>
    <row r="172" spans="1:17">
      <c r="A172" s="1">
        <v>170</v>
      </c>
      <c r="B172" s="2">
        <v>0.0469118319999999</v>
      </c>
      <c r="C172" s="2">
        <v>0.016698129</v>
      </c>
      <c r="D172" s="2">
        <v>0.285013817</v>
      </c>
      <c r="E172" s="2">
        <v>0.433000781</v>
      </c>
      <c r="Q172" s="1" t="s">
        <v>10</v>
      </c>
    </row>
    <row r="173" spans="1:17">
      <c r="A173" s="1">
        <v>171</v>
      </c>
      <c r="B173" s="2">
        <v>0</v>
      </c>
      <c r="C173" s="2">
        <v>0</v>
      </c>
      <c r="D173" s="2">
        <v>0</v>
      </c>
      <c r="E173" s="2">
        <v>0</v>
      </c>
      <c r="Q173" s="1" t="s">
        <v>10</v>
      </c>
    </row>
    <row r="174" spans="1:17">
      <c r="A174" s="1">
        <v>172</v>
      </c>
      <c r="B174" s="2">
        <v>0.036216759</v>
      </c>
      <c r="C174" s="2">
        <v>0.027031149</v>
      </c>
      <c r="D174" s="2">
        <v>0.01650948</v>
      </c>
      <c r="E174" s="2">
        <v>0.01176837</v>
      </c>
      <c r="Q174" s="1" t="s">
        <v>10</v>
      </c>
    </row>
    <row r="175" spans="1:17">
      <c r="A175" s="1">
        <v>173</v>
      </c>
      <c r="B175" s="2">
        <v>0.0520056200000001</v>
      </c>
      <c r="C175" s="2">
        <v>0.044306409</v>
      </c>
      <c r="D175" s="2">
        <v>0.040226509</v>
      </c>
      <c r="E175" s="2">
        <v>0.0286540860000001</v>
      </c>
      <c r="Q175" s="1" t="s">
        <v>10</v>
      </c>
    </row>
    <row r="176" spans="1:17">
      <c r="A176" s="1">
        <v>174</v>
      </c>
      <c r="B176" s="2">
        <v>0.044659107</v>
      </c>
      <c r="C176" s="2">
        <v>0.038836678</v>
      </c>
      <c r="D176" s="2">
        <v>0.00905779900000003</v>
      </c>
      <c r="E176" s="2">
        <v>0.006145556</v>
      </c>
      <c r="Q176" s="1" t="s">
        <v>10</v>
      </c>
    </row>
    <row r="177" spans="1:17">
      <c r="A177" s="1">
        <v>175</v>
      </c>
      <c r="B177" s="2">
        <v>0.0384126330000001</v>
      </c>
      <c r="C177" s="2">
        <v>0.0335391180000001</v>
      </c>
      <c r="D177" s="2">
        <v>0.01233534</v>
      </c>
      <c r="E177" s="2">
        <v>0.00929118100000004</v>
      </c>
      <c r="Q177" s="1" t="s">
        <v>10</v>
      </c>
    </row>
    <row r="178" spans="1:17">
      <c r="A178" s="1">
        <v>176</v>
      </c>
      <c r="B178" s="2">
        <v>0.022090542</v>
      </c>
      <c r="C178" s="2">
        <v>0.01870416</v>
      </c>
      <c r="D178" s="2">
        <v>0.061860539</v>
      </c>
      <c r="E178" s="2">
        <v>0.052189133</v>
      </c>
      <c r="Q178" s="1" t="s">
        <v>10</v>
      </c>
    </row>
    <row r="179" spans="1:17">
      <c r="A179" s="1">
        <v>177</v>
      </c>
      <c r="B179" s="2">
        <v>0.0470348180000001</v>
      </c>
      <c r="C179" s="2">
        <v>0.041262051</v>
      </c>
      <c r="D179" s="2">
        <v>0.0304924520000001</v>
      </c>
      <c r="E179" s="2">
        <v>0.021550514</v>
      </c>
      <c r="Q179" s="1" t="s">
        <v>10</v>
      </c>
    </row>
    <row r="180" spans="1:17">
      <c r="A180" s="1">
        <v>178</v>
      </c>
      <c r="B180" s="2">
        <v>0.039956828</v>
      </c>
      <c r="C180" s="2">
        <v>0.034602216</v>
      </c>
      <c r="D180" s="2">
        <v>0.00902614199999996</v>
      </c>
      <c r="E180" s="2">
        <v>0.00603646000000002</v>
      </c>
      <c r="Q180" s="1" t="s">
        <v>10</v>
      </c>
    </row>
    <row r="181" spans="1:17">
      <c r="A181" s="1">
        <v>179</v>
      </c>
      <c r="B181" s="2">
        <v>0.038596113</v>
      </c>
      <c r="C181" s="2">
        <v>0.0308566419999999</v>
      </c>
      <c r="D181" s="2">
        <v>0.022022177</v>
      </c>
      <c r="E181" s="2">
        <v>0.015387037</v>
      </c>
      <c r="Q181" s="1" t="s">
        <v>10</v>
      </c>
    </row>
    <row r="182" spans="1:17">
      <c r="A182" s="1">
        <v>180</v>
      </c>
      <c r="B182" s="2">
        <v>0.056638073</v>
      </c>
      <c r="C182" s="2">
        <v>0.045463154</v>
      </c>
      <c r="D182" s="2">
        <v>0.036939393</v>
      </c>
      <c r="E182" s="2">
        <v>0.018602457</v>
      </c>
      <c r="Q182" s="1" t="s">
        <v>10</v>
      </c>
    </row>
    <row r="183" spans="1:17">
      <c r="A183" s="1">
        <v>181</v>
      </c>
      <c r="B183" s="2">
        <v>0.031803748</v>
      </c>
      <c r="C183" s="2">
        <v>0.025860679</v>
      </c>
      <c r="D183" s="2">
        <v>0.009765095</v>
      </c>
      <c r="E183" s="2">
        <v>0.00733413900000002</v>
      </c>
      <c r="Q183" s="1" t="s">
        <v>10</v>
      </c>
    </row>
    <row r="184" spans="1:17">
      <c r="A184" s="1">
        <v>182</v>
      </c>
      <c r="B184" s="2">
        <v>0.0196398250000001</v>
      </c>
      <c r="C184" s="2">
        <v>0.059545139</v>
      </c>
      <c r="D184" s="2">
        <v>0.018596028</v>
      </c>
      <c r="E184" s="2">
        <v>0.064521856</v>
      </c>
      <c r="Q184" s="1" t="s">
        <v>10</v>
      </c>
    </row>
    <row r="185" spans="1:17">
      <c r="A185" s="1">
        <v>183</v>
      </c>
      <c r="B185" s="2">
        <v>0.035194416</v>
      </c>
      <c r="C185" s="2">
        <v>0.030319731</v>
      </c>
      <c r="D185" s="2">
        <v>0.00527773099999995</v>
      </c>
      <c r="E185" s="2">
        <v>0.00403148199999998</v>
      </c>
      <c r="Q185" s="1" t="s">
        <v>10</v>
      </c>
    </row>
    <row r="186" spans="1:17">
      <c r="A186" s="1">
        <v>184</v>
      </c>
      <c r="B186" s="2">
        <v>0.040860079</v>
      </c>
      <c r="C186" s="2">
        <v>0.034641614</v>
      </c>
      <c r="D186" s="2">
        <v>0.020973068</v>
      </c>
      <c r="E186" s="2">
        <v>0.015663388</v>
      </c>
      <c r="Q186" s="1" t="s">
        <v>10</v>
      </c>
    </row>
    <row r="187" spans="1:17">
      <c r="A187" s="1">
        <v>185</v>
      </c>
      <c r="B187" s="2">
        <v>0.040933993</v>
      </c>
      <c r="C187" s="2">
        <v>0.036143936</v>
      </c>
      <c r="D187" s="2">
        <v>0.018480447</v>
      </c>
      <c r="E187" s="2">
        <v>0.013904934</v>
      </c>
      <c r="Q187" s="1" t="s">
        <v>10</v>
      </c>
    </row>
    <row r="188" spans="1:17">
      <c r="A188" s="1">
        <v>186</v>
      </c>
      <c r="B188" s="2">
        <v>0.034262617</v>
      </c>
      <c r="C188" s="2">
        <v>0.029978636</v>
      </c>
      <c r="D188" s="2">
        <v>0.00867280400000003</v>
      </c>
      <c r="E188" s="2">
        <v>0.00703862500000002</v>
      </c>
      <c r="Q188" s="1" t="s">
        <v>10</v>
      </c>
    </row>
    <row r="189" spans="1:17">
      <c r="A189" s="1">
        <v>187</v>
      </c>
      <c r="B189" s="2">
        <v>0.033783775</v>
      </c>
      <c r="C189" s="2">
        <v>0.026429242</v>
      </c>
      <c r="D189" s="2">
        <v>0.012227197</v>
      </c>
      <c r="E189" s="2">
        <v>0.00846324499999995</v>
      </c>
      <c r="Q189" s="1" t="s">
        <v>10</v>
      </c>
    </row>
    <row r="190" spans="1:17">
      <c r="A190" s="1">
        <v>188</v>
      </c>
      <c r="B190" s="2">
        <v>0.030095152</v>
      </c>
      <c r="C190" s="2">
        <v>0.025653837</v>
      </c>
      <c r="D190" s="2">
        <v>0.009498279</v>
      </c>
      <c r="E190" s="2">
        <v>0.00786373299999998</v>
      </c>
      <c r="Q190" s="1" t="s">
        <v>10</v>
      </c>
    </row>
    <row r="191" spans="1:17">
      <c r="A191" s="1">
        <v>189</v>
      </c>
      <c r="B191" s="2">
        <v>0.032160126</v>
      </c>
      <c r="C191" s="2">
        <v>0.026872607</v>
      </c>
      <c r="D191" s="2">
        <v>0.019468252</v>
      </c>
      <c r="E191" s="2">
        <v>0.015988575</v>
      </c>
      <c r="Q191" s="1" t="s">
        <v>10</v>
      </c>
    </row>
    <row r="192" spans="1:17">
      <c r="A192" s="1">
        <v>190</v>
      </c>
      <c r="B192" s="2">
        <v>0.040083125</v>
      </c>
      <c r="C192" s="2">
        <v>0.033278488</v>
      </c>
      <c r="D192" s="2">
        <v>0.00750824899999991</v>
      </c>
      <c r="E192" s="2">
        <v>0.00536599999999998</v>
      </c>
      <c r="Q192" s="1" t="s">
        <v>10</v>
      </c>
    </row>
    <row r="193" spans="1:17">
      <c r="A193" s="1">
        <v>191</v>
      </c>
      <c r="B193" s="2">
        <v>0.0424697390000001</v>
      </c>
      <c r="C193" s="2">
        <v>0.03552037</v>
      </c>
      <c r="D193" s="2">
        <v>0.0108475130000001</v>
      </c>
      <c r="E193" s="2">
        <v>0.00664734</v>
      </c>
      <c r="Q193" s="1" t="s">
        <v>10</v>
      </c>
    </row>
    <row r="194" spans="1:17">
      <c r="A194" s="1">
        <v>192</v>
      </c>
      <c r="B194" s="2">
        <v>0.025388301</v>
      </c>
      <c r="C194" s="2">
        <v>0.019597675</v>
      </c>
      <c r="D194" s="2">
        <v>0.004620075</v>
      </c>
      <c r="E194" s="2">
        <v>0.00347097000000002</v>
      </c>
      <c r="Q194" s="1" t="s">
        <v>10</v>
      </c>
    </row>
    <row r="195" spans="1:17">
      <c r="A195" s="1">
        <v>193</v>
      </c>
      <c r="B195" s="2">
        <v>0.017508821</v>
      </c>
      <c r="C195" s="2">
        <v>0.013886924</v>
      </c>
      <c r="D195" s="2">
        <v>0.013096324</v>
      </c>
      <c r="E195" s="2">
        <v>0.010496388</v>
      </c>
      <c r="Q195" s="1" t="s">
        <v>10</v>
      </c>
    </row>
    <row r="196" spans="1:17">
      <c r="A196" s="1">
        <v>194</v>
      </c>
      <c r="B196" s="2">
        <v>0.021062378</v>
      </c>
      <c r="C196" s="2">
        <v>0.018128019</v>
      </c>
      <c r="D196" s="2">
        <v>0.02750458</v>
      </c>
      <c r="E196" s="2">
        <v>0.022767589</v>
      </c>
      <c r="Q196" s="1" t="s">
        <v>10</v>
      </c>
    </row>
    <row r="197" spans="1:17">
      <c r="A197" s="1">
        <v>195</v>
      </c>
      <c r="B197" s="2">
        <v>0.0413083400000001</v>
      </c>
      <c r="C197" s="2">
        <v>0.0304937540000001</v>
      </c>
      <c r="D197" s="2">
        <v>0.01366444</v>
      </c>
      <c r="E197" s="2">
        <v>0.00814794100000005</v>
      </c>
      <c r="Q197" s="1" t="s">
        <v>10</v>
      </c>
    </row>
    <row r="198" spans="1:17">
      <c r="A198" s="1">
        <v>196</v>
      </c>
      <c r="B198" s="2">
        <v>0.029413196</v>
      </c>
      <c r="C198" s="2">
        <v>0.02473407</v>
      </c>
      <c r="D198" s="2">
        <v>0.00653534</v>
      </c>
      <c r="E198" s="2">
        <v>0.00524951899999998</v>
      </c>
      <c r="Q198" s="1" t="s">
        <v>10</v>
      </c>
    </row>
    <row r="199" spans="1:17">
      <c r="A199" s="1">
        <v>197</v>
      </c>
      <c r="B199" s="2">
        <v>0.030736757</v>
      </c>
      <c r="C199" s="2">
        <v>0.025524949</v>
      </c>
      <c r="D199" s="2">
        <v>0.00833782800000005</v>
      </c>
      <c r="E199" s="2">
        <v>0.00648733400000001</v>
      </c>
      <c r="Q199" s="1" t="s">
        <v>10</v>
      </c>
    </row>
    <row r="200" spans="1:17">
      <c r="A200" s="1">
        <v>198</v>
      </c>
      <c r="B200" s="2">
        <v>0.041244532</v>
      </c>
      <c r="C200" s="2">
        <v>0.0351468669999999</v>
      </c>
      <c r="D200" s="2">
        <v>0.012826773</v>
      </c>
      <c r="E200" s="2">
        <v>0.00871545899999993</v>
      </c>
      <c r="Q200" s="1" t="s">
        <v>10</v>
      </c>
    </row>
    <row r="201" spans="1:17">
      <c r="A201" s="1">
        <v>199</v>
      </c>
      <c r="B201" s="2">
        <v>0.033979999</v>
      </c>
      <c r="C201" s="2">
        <v>0.024629297</v>
      </c>
      <c r="D201" s="2">
        <v>0.0076035470000001</v>
      </c>
      <c r="E201" s="2">
        <v>0.00501204999999999</v>
      </c>
      <c r="Q201" s="1" t="s">
        <v>10</v>
      </c>
    </row>
    <row r="202" spans="1:17">
      <c r="A202" s="1">
        <v>200</v>
      </c>
      <c r="B202" s="2">
        <v>0.046752729</v>
      </c>
      <c r="C202" s="2">
        <v>0.0407223369999999</v>
      </c>
      <c r="D202" s="2">
        <v>0.054462741</v>
      </c>
      <c r="E202" s="2">
        <v>0.0425825599999999</v>
      </c>
      <c r="Q202" s="1" t="s">
        <v>10</v>
      </c>
    </row>
    <row r="203" spans="1:17">
      <c r="A203" s="1">
        <v>201</v>
      </c>
      <c r="B203" s="2">
        <v>0.044492825</v>
      </c>
      <c r="C203" s="2">
        <v>0.039494355</v>
      </c>
      <c r="D203" s="2">
        <v>0.0296749549999999</v>
      </c>
      <c r="E203" s="2">
        <v>0.0227031600000001</v>
      </c>
      <c r="Q203" s="1" t="s">
        <v>10</v>
      </c>
    </row>
    <row r="204" spans="1:17">
      <c r="A204" s="1">
        <v>202</v>
      </c>
      <c r="B204" s="2">
        <v>0</v>
      </c>
      <c r="C204" s="2">
        <v>0</v>
      </c>
      <c r="D204" s="2">
        <v>0</v>
      </c>
      <c r="E204" s="2">
        <v>0</v>
      </c>
      <c r="Q204" s="1" t="s">
        <v>10</v>
      </c>
    </row>
    <row r="205" spans="1:17">
      <c r="A205" s="1">
        <v>203</v>
      </c>
      <c r="B205" s="2">
        <v>0.0440371550000001</v>
      </c>
      <c r="C205" s="2">
        <v>0.038416072</v>
      </c>
      <c r="D205" s="2">
        <v>0.0154231770000001</v>
      </c>
      <c r="E205" s="2">
        <v>0.010519021</v>
      </c>
      <c r="Q205" s="1" t="s">
        <v>10</v>
      </c>
    </row>
    <row r="206" spans="1:17">
      <c r="A206" s="1">
        <v>204</v>
      </c>
      <c r="B206" s="2">
        <v>0.027291405</v>
      </c>
      <c r="C206" s="2">
        <v>0.022977019</v>
      </c>
      <c r="D206" s="2">
        <v>0.00976585000000002</v>
      </c>
      <c r="E206" s="2">
        <v>0.007995013</v>
      </c>
      <c r="Q206" s="1" t="s">
        <v>10</v>
      </c>
    </row>
    <row r="207" spans="1:17">
      <c r="A207" s="1">
        <v>205</v>
      </c>
      <c r="B207" s="2">
        <v>0.034807366</v>
      </c>
      <c r="C207" s="2">
        <v>0.029108431</v>
      </c>
      <c r="D207" s="2">
        <v>0.025277275</v>
      </c>
      <c r="E207" s="2">
        <v>0.020193847</v>
      </c>
      <c r="Q207" s="1" t="s">
        <v>10</v>
      </c>
    </row>
    <row r="208" spans="1:17">
      <c r="A208" s="1">
        <v>206</v>
      </c>
      <c r="B208" s="2">
        <v>0.041719391</v>
      </c>
      <c r="C208" s="2">
        <v>0.037078118</v>
      </c>
      <c r="D208" s="2">
        <v>0.0228619640000001</v>
      </c>
      <c r="E208" s="2">
        <v>0.017919987</v>
      </c>
      <c r="Q208" s="1" t="s">
        <v>10</v>
      </c>
    </row>
    <row r="209" spans="1:17">
      <c r="A209" s="1">
        <v>207</v>
      </c>
      <c r="B209" s="2">
        <v>0.0479059040000001</v>
      </c>
      <c r="C209" s="2">
        <v>0.04242758</v>
      </c>
      <c r="D209" s="2">
        <v>0.033316841</v>
      </c>
      <c r="E209" s="2">
        <v>0.025025988</v>
      </c>
      <c r="Q209" s="1" t="s">
        <v>10</v>
      </c>
    </row>
    <row r="210" spans="1:17">
      <c r="A210" s="1">
        <v>208</v>
      </c>
      <c r="B210" s="2">
        <v>0.056358679</v>
      </c>
      <c r="C210" s="2">
        <v>0.0524698600000001</v>
      </c>
      <c r="D210" s="2">
        <v>0.0547953560000001</v>
      </c>
      <c r="E210" s="2">
        <v>0.0468319810000001</v>
      </c>
      <c r="Q210" s="1" t="s">
        <v>10</v>
      </c>
    </row>
    <row r="211" spans="1:17">
      <c r="A211" s="1">
        <v>209</v>
      </c>
      <c r="B211" s="2">
        <v>0.025019249</v>
      </c>
      <c r="C211" s="2">
        <v>0.020641151</v>
      </c>
      <c r="D211" s="2">
        <v>0.031327553</v>
      </c>
      <c r="E211" s="2">
        <v>0.02402221</v>
      </c>
      <c r="Q211" s="1" t="s">
        <v>10</v>
      </c>
    </row>
    <row r="212" spans="1:17">
      <c r="A212" s="1">
        <v>210</v>
      </c>
      <c r="B212" s="2">
        <v>0.029676273</v>
      </c>
      <c r="C212" s="2">
        <v>0.02529845</v>
      </c>
      <c r="D212" s="2">
        <v>0.013831724</v>
      </c>
      <c r="E212" s="2">
        <v>0.010985137</v>
      </c>
      <c r="Q212" s="1" t="s">
        <v>10</v>
      </c>
    </row>
    <row r="213" spans="1:17">
      <c r="A213" s="1">
        <v>211</v>
      </c>
      <c r="B213" s="2">
        <v>0.0422086039999999</v>
      </c>
      <c r="C213" s="2">
        <v>0.036540671</v>
      </c>
      <c r="D213" s="2">
        <v>0.0213549209999999</v>
      </c>
      <c r="E213" s="2">
        <v>0.014993025</v>
      </c>
      <c r="Q213" s="1" t="s">
        <v>10</v>
      </c>
    </row>
    <row r="214" spans="1:17">
      <c r="A214" s="1">
        <v>212</v>
      </c>
      <c r="B214" s="2">
        <v>0.053925876</v>
      </c>
      <c r="C214" s="2">
        <v>0.049086281</v>
      </c>
      <c r="D214" s="2">
        <v>0.032617553</v>
      </c>
      <c r="E214" s="2">
        <v>0.024703618</v>
      </c>
      <c r="Q214" s="1" t="s">
        <v>10</v>
      </c>
    </row>
    <row r="215" spans="1:17">
      <c r="A215" s="1">
        <v>213</v>
      </c>
      <c r="B215" s="2">
        <v>0.019202968</v>
      </c>
      <c r="C215" s="2">
        <v>0.016404903</v>
      </c>
      <c r="D215" s="2">
        <v>0.020830488</v>
      </c>
      <c r="E215" s="2">
        <v>0.01715941</v>
      </c>
      <c r="Q215" s="1" t="s">
        <v>10</v>
      </c>
    </row>
    <row r="216" spans="1:17">
      <c r="A216" s="1">
        <v>214</v>
      </c>
      <c r="B216" s="2">
        <v>0</v>
      </c>
      <c r="C216" s="2">
        <v>0.00488674600000005</v>
      </c>
      <c r="D216" s="2">
        <v>0</v>
      </c>
      <c r="E216" s="2">
        <v>0.0040135200000001</v>
      </c>
      <c r="Q216" s="1" t="s">
        <v>10</v>
      </c>
    </row>
    <row r="217" spans="1:17">
      <c r="A217" s="1">
        <v>215</v>
      </c>
      <c r="B217" s="2">
        <v>0.014387068</v>
      </c>
      <c r="C217" s="2">
        <v>0.0538358880000001</v>
      </c>
      <c r="D217" s="2">
        <v>0.013722235</v>
      </c>
      <c r="E217" s="2">
        <v>0.0752042150000001</v>
      </c>
      <c r="Q217" s="1" t="s">
        <v>10</v>
      </c>
    </row>
    <row r="218" spans="1:17">
      <c r="A218" s="1">
        <v>216</v>
      </c>
      <c r="B218" s="2">
        <v>0</v>
      </c>
      <c r="C218" s="2">
        <v>0</v>
      </c>
      <c r="D218" s="2">
        <v>0</v>
      </c>
      <c r="E218" s="2">
        <v>0</v>
      </c>
      <c r="Q218" s="1" t="s">
        <v>10</v>
      </c>
    </row>
    <row r="219" spans="1:17">
      <c r="A219" s="1">
        <v>217</v>
      </c>
      <c r="B219" s="2">
        <v>0.050636512</v>
      </c>
      <c r="C219" s="2">
        <v>0.0479027830000001</v>
      </c>
      <c r="D219" s="2">
        <v>0.0549260309999999</v>
      </c>
      <c r="E219" s="2">
        <v>0.048097671</v>
      </c>
      <c r="Q219" s="1" t="s">
        <v>10</v>
      </c>
    </row>
    <row r="220" spans="1:17">
      <c r="A220" s="1">
        <v>218</v>
      </c>
      <c r="B220" s="2">
        <v>0</v>
      </c>
      <c r="C220" s="2">
        <v>0</v>
      </c>
      <c r="D220" s="2">
        <v>0</v>
      </c>
      <c r="E220" s="2">
        <v>0.683033214</v>
      </c>
      <c r="Q220" s="1" t="s">
        <v>10</v>
      </c>
    </row>
    <row r="221" spans="1:17">
      <c r="A221" s="1">
        <v>219</v>
      </c>
      <c r="B221" s="2">
        <v>0</v>
      </c>
      <c r="C221" s="2">
        <v>0</v>
      </c>
      <c r="D221" s="2">
        <v>0</v>
      </c>
      <c r="E221" s="2">
        <v>0</v>
      </c>
      <c r="Q221" s="1" t="s">
        <v>10</v>
      </c>
    </row>
    <row r="222" spans="1:17">
      <c r="A222" s="1">
        <v>220</v>
      </c>
      <c r="B222" s="2">
        <v>0</v>
      </c>
      <c r="C222" s="2">
        <v>0</v>
      </c>
      <c r="D222" s="2">
        <v>0</v>
      </c>
      <c r="E222" s="2">
        <v>0</v>
      </c>
      <c r="Q222" s="1" t="s">
        <v>10</v>
      </c>
    </row>
    <row r="223" spans="1:17">
      <c r="A223" s="1">
        <v>221</v>
      </c>
      <c r="B223" s="2">
        <v>0.0308594229999999</v>
      </c>
      <c r="C223" s="2">
        <v>0.021896051</v>
      </c>
      <c r="D223" s="2">
        <v>0.0298089679999999</v>
      </c>
      <c r="E223" s="2">
        <v>0.022036061</v>
      </c>
      <c r="Q223" s="1" t="s">
        <v>10</v>
      </c>
    </row>
    <row r="224" spans="1:17">
      <c r="A224" s="1">
        <v>222</v>
      </c>
      <c r="B224" s="2">
        <v>0</v>
      </c>
      <c r="C224" s="2">
        <v>0</v>
      </c>
      <c r="D224" s="2">
        <v>0</v>
      </c>
      <c r="E224" s="2">
        <v>0</v>
      </c>
      <c r="Q224" s="1" t="s">
        <v>10</v>
      </c>
    </row>
    <row r="225" spans="1:17">
      <c r="A225" s="1">
        <v>223</v>
      </c>
      <c r="B225" s="2">
        <v>0.053907048</v>
      </c>
      <c r="C225" s="2">
        <v>0.04901031</v>
      </c>
      <c r="D225" s="2">
        <v>0.0213011759999999</v>
      </c>
      <c r="E225" s="2">
        <v>0.0181252150000001</v>
      </c>
      <c r="Q225" s="1" t="s">
        <v>10</v>
      </c>
    </row>
    <row r="226" spans="1:17">
      <c r="A226" s="1">
        <v>224</v>
      </c>
      <c r="B226" s="2">
        <v>0.04866118</v>
      </c>
      <c r="C226" s="2">
        <v>0.042373128</v>
      </c>
      <c r="D226" s="2">
        <v>0.0274341429999999</v>
      </c>
      <c r="E226" s="2">
        <v>0.018476618</v>
      </c>
      <c r="Q226" s="1" t="s">
        <v>10</v>
      </c>
    </row>
    <row r="227" spans="1:17">
      <c r="A227" s="1">
        <v>225</v>
      </c>
      <c r="B227" s="2">
        <v>0.054044823</v>
      </c>
      <c r="C227" s="2">
        <v>0.049247562</v>
      </c>
      <c r="D227" s="2">
        <v>0.0445896099999999</v>
      </c>
      <c r="E227" s="2">
        <v>0.0356303530000001</v>
      </c>
      <c r="Q227" s="1" t="s">
        <v>10</v>
      </c>
    </row>
    <row r="228" spans="1:17">
      <c r="A228" s="1">
        <v>226</v>
      </c>
      <c r="B228" s="2">
        <v>0.051491748</v>
      </c>
      <c r="C228" s="2">
        <v>0.04606998</v>
      </c>
      <c r="D228" s="2">
        <v>0.0361658269999999</v>
      </c>
      <c r="E228" s="2">
        <v>0.027179046</v>
      </c>
      <c r="Q228" s="1" t="s">
        <v>10</v>
      </c>
    </row>
    <row r="229" spans="1:17">
      <c r="A229" s="1">
        <v>227</v>
      </c>
      <c r="B229" s="2">
        <v>0.044966668</v>
      </c>
      <c r="C229" s="2">
        <v>0.037377883</v>
      </c>
      <c r="D229" s="2">
        <v>0.0274729300000001</v>
      </c>
      <c r="E229" s="2">
        <v>0.018058439</v>
      </c>
      <c r="Q229" s="1" t="s">
        <v>10</v>
      </c>
    </row>
    <row r="230" spans="1:17">
      <c r="A230" s="1">
        <v>228</v>
      </c>
      <c r="B230" s="2">
        <v>0.030250436</v>
      </c>
      <c r="C230" s="2">
        <v>0.023665348</v>
      </c>
      <c r="D230" s="2">
        <v>0.327187234</v>
      </c>
      <c r="E230" s="2">
        <v>0.310580153</v>
      </c>
      <c r="Q230" s="1" t="s">
        <v>10</v>
      </c>
    </row>
    <row r="231" spans="1:17">
      <c r="A231" s="1">
        <v>229</v>
      </c>
      <c r="B231" s="2">
        <v>0.02295108</v>
      </c>
      <c r="C231" s="2">
        <v>0.017616557</v>
      </c>
      <c r="D231" s="2">
        <v>0.051113819</v>
      </c>
      <c r="E231" s="2">
        <v>0.04026206</v>
      </c>
      <c r="Q231" s="1" t="s">
        <v>10</v>
      </c>
    </row>
    <row r="232" spans="1:17">
      <c r="A232" s="1">
        <v>230</v>
      </c>
      <c r="B232" s="2">
        <v>0.029320524</v>
      </c>
      <c r="C232" s="2">
        <v>0.02499681</v>
      </c>
      <c r="D232" s="2">
        <v>0.013785472</v>
      </c>
      <c r="E232" s="2">
        <v>0.011416585</v>
      </c>
      <c r="Q232" s="1" t="s">
        <v>10</v>
      </c>
    </row>
    <row r="233" spans="1:17">
      <c r="A233" s="1">
        <v>231</v>
      </c>
      <c r="B233" s="2">
        <v>0.040945515</v>
      </c>
      <c r="C233" s="2">
        <v>0.037751099</v>
      </c>
      <c r="D233" s="2">
        <v>0.00284104799999996</v>
      </c>
      <c r="E233" s="2">
        <v>0.00230337999999997</v>
      </c>
      <c r="Q233" s="1" t="s">
        <v>10</v>
      </c>
    </row>
    <row r="234" spans="1:17">
      <c r="A234" s="1">
        <v>232</v>
      </c>
      <c r="B234" s="2">
        <v>0.035475348</v>
      </c>
      <c r="C234" s="2">
        <v>0.0315384830000001</v>
      </c>
      <c r="D234" s="2">
        <v>0.00462775000000004</v>
      </c>
      <c r="E234" s="2">
        <v>0.00375826800000001</v>
      </c>
      <c r="Q234" s="1" t="s">
        <v>10</v>
      </c>
    </row>
    <row r="235" spans="1:17">
      <c r="A235" s="1">
        <v>233</v>
      </c>
      <c r="B235" s="2">
        <v>0.044799222</v>
      </c>
      <c r="C235" s="2">
        <v>0.038964938</v>
      </c>
      <c r="D235" s="2">
        <v>0.024070369</v>
      </c>
      <c r="E235" s="2">
        <v>0.017401513</v>
      </c>
      <c r="Q235" s="1" t="s">
        <v>10</v>
      </c>
    </row>
    <row r="236" spans="1:17">
      <c r="A236" s="1">
        <v>234</v>
      </c>
      <c r="B236" s="2">
        <v>0.04708407</v>
      </c>
      <c r="C236" s="2">
        <v>0.0522488870000001</v>
      </c>
      <c r="D236" s="2">
        <v>0.051834941</v>
      </c>
      <c r="E236" s="2">
        <v>0.0583155540000001</v>
      </c>
      <c r="Q236" s="1" t="s">
        <v>10</v>
      </c>
    </row>
    <row r="237" spans="1:17">
      <c r="A237" s="1">
        <v>235</v>
      </c>
      <c r="B237" s="2">
        <v>0.04967941</v>
      </c>
      <c r="C237" s="2">
        <v>0.04358887</v>
      </c>
      <c r="D237" s="2">
        <v>0.010635854</v>
      </c>
      <c r="E237" s="2">
        <v>0.00713404900000003</v>
      </c>
      <c r="Q237" s="1" t="s">
        <v>10</v>
      </c>
    </row>
    <row r="238" spans="1:17">
      <c r="A238" s="1">
        <v>236</v>
      </c>
      <c r="B238" s="2">
        <v>0.052529488</v>
      </c>
      <c r="C238" s="2">
        <v>0.0476417259999999</v>
      </c>
      <c r="D238" s="2">
        <v>0.027787463</v>
      </c>
      <c r="E238" s="2">
        <v>0.020988861</v>
      </c>
      <c r="Q238" s="1" t="s">
        <v>10</v>
      </c>
    </row>
    <row r="239" spans="1:17">
      <c r="A239" s="1">
        <v>237</v>
      </c>
      <c r="B239" s="2">
        <v>0.00544904700000004</v>
      </c>
      <c r="C239" s="2">
        <v>0.010389541</v>
      </c>
      <c r="D239" s="2">
        <v>0.00404606000000007</v>
      </c>
      <c r="E239" s="2">
        <v>0.00736594300000004</v>
      </c>
      <c r="Q239" s="1" t="s">
        <v>10</v>
      </c>
    </row>
    <row r="240" spans="1:17">
      <c r="A240" s="1">
        <v>238</v>
      </c>
      <c r="B240" s="2">
        <v>0.05169762</v>
      </c>
      <c r="C240" s="2">
        <v>0.050850478</v>
      </c>
      <c r="D240" s="2">
        <v>0.0606738459999999</v>
      </c>
      <c r="E240" s="2">
        <v>0.0608219129999999</v>
      </c>
      <c r="Q240" s="1" t="s">
        <v>10</v>
      </c>
    </row>
    <row r="241" spans="1:17">
      <c r="A241" s="1">
        <v>239</v>
      </c>
      <c r="B241" s="2">
        <v>0</v>
      </c>
      <c r="C241" s="2">
        <v>0</v>
      </c>
      <c r="D241" s="2">
        <v>0</v>
      </c>
      <c r="E241" s="2">
        <v>0</v>
      </c>
      <c r="Q241" s="1" t="s">
        <v>10</v>
      </c>
    </row>
    <row r="242" spans="1:17">
      <c r="A242" s="1">
        <v>240</v>
      </c>
      <c r="B242" s="2">
        <v>0.012834127</v>
      </c>
      <c r="C242" s="2">
        <v>0.00862728800000001</v>
      </c>
      <c r="D242" s="2">
        <v>0.00945424899999997</v>
      </c>
      <c r="E242" s="2">
        <v>0.006659895</v>
      </c>
      <c r="Q242" s="1" t="s">
        <v>10</v>
      </c>
    </row>
    <row r="243" spans="1:17">
      <c r="A243" s="1">
        <v>241</v>
      </c>
      <c r="B243" s="2">
        <v>0</v>
      </c>
      <c r="C243" s="2">
        <v>0</v>
      </c>
      <c r="D243" s="2">
        <v>0</v>
      </c>
      <c r="E243" s="2">
        <v>0</v>
      </c>
      <c r="Q243" s="1" t="s">
        <v>10</v>
      </c>
    </row>
    <row r="244" spans="1:17">
      <c r="A244" s="1">
        <v>242</v>
      </c>
      <c r="B244" s="2">
        <v>0.034253781</v>
      </c>
      <c r="C244" s="2">
        <v>0.029730759</v>
      </c>
      <c r="D244" s="2">
        <v>0.353512641</v>
      </c>
      <c r="E244" s="2">
        <v>0.366067131</v>
      </c>
      <c r="Q244" s="1" t="s">
        <v>10</v>
      </c>
    </row>
    <row r="245" spans="1:17">
      <c r="A245" s="1">
        <v>243</v>
      </c>
      <c r="B245" s="2">
        <v>0.038436633</v>
      </c>
      <c r="C245" s="2">
        <v>0.033330108</v>
      </c>
      <c r="D245" s="2">
        <v>0.0188248990000001</v>
      </c>
      <c r="E245" s="2">
        <v>0.015183498</v>
      </c>
      <c r="Q245" s="1" t="s">
        <v>10</v>
      </c>
    </row>
    <row r="246" spans="1:17">
      <c r="A246" s="1">
        <v>244</v>
      </c>
      <c r="B246" s="2">
        <v>0.0380379799999999</v>
      </c>
      <c r="C246" s="2">
        <v>0.0330250489999999</v>
      </c>
      <c r="D246" s="2">
        <v>0.045289901</v>
      </c>
      <c r="E246" s="2">
        <v>0.0392987389999999</v>
      </c>
      <c r="Q246" s="1" t="s">
        <v>10</v>
      </c>
    </row>
    <row r="247" spans="1:17">
      <c r="A247" s="1">
        <v>245</v>
      </c>
      <c r="B247" s="2">
        <v>0.02323179</v>
      </c>
      <c r="C247" s="2">
        <v>0.020088837</v>
      </c>
      <c r="D247" s="2">
        <v>0.097138831</v>
      </c>
      <c r="E247" s="2">
        <v>0.088508592</v>
      </c>
      <c r="Q247" s="1" t="s">
        <v>10</v>
      </c>
    </row>
    <row r="248" spans="1:17">
      <c r="A248" s="1">
        <v>246</v>
      </c>
      <c r="B248" s="2">
        <v>0.031344752</v>
      </c>
      <c r="C248" s="2">
        <v>0.027539901</v>
      </c>
      <c r="D248" s="2">
        <v>0.018681724</v>
      </c>
      <c r="E248" s="2">
        <v>0.015877433</v>
      </c>
      <c r="Q248" s="1" t="s">
        <v>10</v>
      </c>
    </row>
    <row r="249" spans="1:17">
      <c r="A249" s="1">
        <v>247</v>
      </c>
      <c r="B249" s="2">
        <v>0.0330577670000001</v>
      </c>
      <c r="C249" s="2">
        <v>0.026618055</v>
      </c>
      <c r="D249" s="2">
        <v>0.017760043</v>
      </c>
      <c r="E249" s="2">
        <v>0.013186692</v>
      </c>
      <c r="Q249" s="1" t="s">
        <v>10</v>
      </c>
    </row>
    <row r="250" spans="1:17">
      <c r="A250" s="1">
        <v>248</v>
      </c>
      <c r="B250" s="2">
        <v>0.043304806</v>
      </c>
      <c r="C250" s="2">
        <v>0.0376233290000001</v>
      </c>
      <c r="D250" s="2">
        <v>0.0148550860000001</v>
      </c>
      <c r="E250" s="2">
        <v>0.010619182</v>
      </c>
      <c r="Q250" s="1" t="s">
        <v>10</v>
      </c>
    </row>
    <row r="251" spans="1:17">
      <c r="A251" s="1">
        <v>249</v>
      </c>
      <c r="B251" s="2">
        <v>0.043003502</v>
      </c>
      <c r="C251" s="2">
        <v>0.032106039</v>
      </c>
      <c r="D251" s="2">
        <v>0.01448939</v>
      </c>
      <c r="E251" s="2">
        <v>0.00832944700000005</v>
      </c>
      <c r="Q251" s="1" t="s">
        <v>10</v>
      </c>
    </row>
    <row r="252" spans="1:17">
      <c r="A252" s="1">
        <v>250</v>
      </c>
      <c r="B252" s="2">
        <v>0.0513946319999999</v>
      </c>
      <c r="C252" s="2">
        <v>0.045619494</v>
      </c>
      <c r="D252" s="2">
        <v>0.049773194</v>
      </c>
      <c r="E252" s="2">
        <v>0.0393812929999999</v>
      </c>
      <c r="Q252" s="1" t="s">
        <v>10</v>
      </c>
    </row>
    <row r="253" spans="1:17">
      <c r="A253" s="1">
        <v>251</v>
      </c>
      <c r="B253" s="2">
        <v>0.00408623999999999</v>
      </c>
      <c r="C253" s="2">
        <v>0.000664837000000001</v>
      </c>
      <c r="D253" s="2">
        <v>0.049360855</v>
      </c>
      <c r="E253" s="2">
        <v>0.019562478</v>
      </c>
      <c r="Q253" s="1" t="s">
        <v>10</v>
      </c>
    </row>
    <row r="254" spans="1:17">
      <c r="A254" s="1">
        <v>252</v>
      </c>
      <c r="B254" s="2">
        <v>0.035497415</v>
      </c>
      <c r="C254" s="2">
        <v>0.028337883</v>
      </c>
      <c r="D254" s="2">
        <v>0.023906141</v>
      </c>
      <c r="E254" s="2">
        <v>0.018551754</v>
      </c>
      <c r="Q254" s="1" t="s">
        <v>10</v>
      </c>
    </row>
    <row r="255" spans="1:17">
      <c r="A255" s="1">
        <v>253</v>
      </c>
      <c r="B255" s="2">
        <v>0.0487802349999999</v>
      </c>
      <c r="C255" s="2">
        <v>0.018066584</v>
      </c>
      <c r="D255" s="2">
        <v>0.075599157</v>
      </c>
      <c r="E255" s="2">
        <v>0.037973495</v>
      </c>
      <c r="Q255" s="1" t="s">
        <v>10</v>
      </c>
    </row>
    <row r="256" spans="1:17">
      <c r="A256" s="1">
        <v>254</v>
      </c>
      <c r="B256" s="2">
        <v>0.025794657</v>
      </c>
      <c r="C256" s="2">
        <v>0.021671068</v>
      </c>
      <c r="D256" s="2">
        <v>0.029706236</v>
      </c>
      <c r="E256" s="2">
        <v>0.024684065</v>
      </c>
      <c r="Q256" s="1" t="s">
        <v>10</v>
      </c>
    </row>
    <row r="257" spans="1:17">
      <c r="A257" s="1">
        <v>255</v>
      </c>
      <c r="B257" s="2">
        <v>0.0334989800000001</v>
      </c>
      <c r="C257" s="2">
        <v>0.02594259</v>
      </c>
      <c r="D257" s="2">
        <v>0.019282865</v>
      </c>
      <c r="E257" s="2">
        <v>0.01465412</v>
      </c>
      <c r="Q257" s="1" t="s">
        <v>10</v>
      </c>
    </row>
    <row r="258" spans="1:17">
      <c r="A258" s="1">
        <v>256</v>
      </c>
      <c r="B258" s="2">
        <v>0.042608399</v>
      </c>
      <c r="C258" s="2">
        <v>0.037626245</v>
      </c>
      <c r="D258" s="2">
        <v>0.0325391310000001</v>
      </c>
      <c r="E258" s="2">
        <v>0.027021214</v>
      </c>
      <c r="Q258" s="1" t="s">
        <v>10</v>
      </c>
    </row>
    <row r="259" spans="1:17">
      <c r="A259" s="1">
        <v>257</v>
      </c>
      <c r="B259" s="2">
        <v>0.042195457</v>
      </c>
      <c r="C259" s="2">
        <v>0.03684261</v>
      </c>
      <c r="D259" s="2">
        <v>0.035629755</v>
      </c>
      <c r="E259" s="2">
        <v>0.029698294</v>
      </c>
      <c r="Q259" s="1" t="s">
        <v>10</v>
      </c>
    </row>
    <row r="260" spans="1:17">
      <c r="A260" s="1">
        <v>258</v>
      </c>
      <c r="B260" s="2">
        <v>0</v>
      </c>
      <c r="C260" s="2">
        <v>0</v>
      </c>
      <c r="D260" s="2">
        <v>0</v>
      </c>
      <c r="E260" s="2">
        <v>0</v>
      </c>
      <c r="Q260" s="1" t="s">
        <v>10</v>
      </c>
    </row>
    <row r="261" spans="1:17">
      <c r="A261" s="1">
        <v>259</v>
      </c>
      <c r="B261" s="2">
        <v>0.033113307</v>
      </c>
      <c r="C261" s="2">
        <v>0.028101968</v>
      </c>
      <c r="D261" s="2">
        <v>0.051929954</v>
      </c>
      <c r="E261" s="2">
        <v>0.045338239</v>
      </c>
      <c r="Q261" s="1" t="s">
        <v>10</v>
      </c>
    </row>
    <row r="262" spans="1:17">
      <c r="A262" s="1">
        <v>260</v>
      </c>
      <c r="B262" s="2">
        <v>0.0327587579999999</v>
      </c>
      <c r="C262" s="2">
        <v>0.027737485</v>
      </c>
      <c r="D262" s="2">
        <v>0.113890909</v>
      </c>
      <c r="E262" s="2">
        <v>0.0993172839999999</v>
      </c>
      <c r="Q262" s="1" t="s">
        <v>10</v>
      </c>
    </row>
    <row r="263" spans="1:17">
      <c r="A263" s="1">
        <v>261</v>
      </c>
      <c r="B263" s="2">
        <v>2.99689999999631e-5</v>
      </c>
      <c r="C263" s="2">
        <v>0.00038893799999995</v>
      </c>
      <c r="D263" s="2">
        <v>2.99689999999631e-5</v>
      </c>
      <c r="E263" s="2">
        <v>0.00038893799999995</v>
      </c>
      <c r="Q263" s="1" t="s">
        <v>10</v>
      </c>
    </row>
    <row r="264" spans="1:17">
      <c r="A264" s="1">
        <v>262</v>
      </c>
      <c r="B264" s="2">
        <v>0.044566729</v>
      </c>
      <c r="C264" s="2">
        <v>0.030864569</v>
      </c>
      <c r="D264" s="2">
        <v>0.026884482</v>
      </c>
      <c r="E264" s="2">
        <v>0.014302771</v>
      </c>
      <c r="Q264" s="1" t="s">
        <v>10</v>
      </c>
    </row>
    <row r="265" spans="1:17">
      <c r="A265" s="1">
        <v>263</v>
      </c>
      <c r="B265" s="2">
        <v>0</v>
      </c>
      <c r="C265" s="2">
        <v>0</v>
      </c>
      <c r="D265" s="2">
        <v>0</v>
      </c>
      <c r="E265" s="2">
        <v>0</v>
      </c>
      <c r="Q265" s="1" t="s">
        <v>10</v>
      </c>
    </row>
    <row r="266" spans="1:17">
      <c r="A266" s="1">
        <v>264</v>
      </c>
      <c r="B266" s="2">
        <v>0.0424153620000001</v>
      </c>
      <c r="C266" s="2">
        <v>0.0377467100000001</v>
      </c>
      <c r="D266" s="2">
        <v>0.0265478520000001</v>
      </c>
      <c r="E266" s="2">
        <v>0.0210520320000001</v>
      </c>
      <c r="Q266" s="1" t="s">
        <v>10</v>
      </c>
    </row>
    <row r="267" spans="1:17">
      <c r="A267" s="1">
        <v>265</v>
      </c>
      <c r="B267" s="2">
        <v>0.047824768</v>
      </c>
      <c r="C267" s="2">
        <v>0.040974791</v>
      </c>
      <c r="D267" s="2">
        <v>0.0316379490000001</v>
      </c>
      <c r="E267" s="2">
        <v>0.023376403</v>
      </c>
      <c r="Q267" s="1" t="s">
        <v>10</v>
      </c>
    </row>
    <row r="268" spans="1:17">
      <c r="A268" s="1">
        <v>266</v>
      </c>
      <c r="B268" s="2">
        <v>0.0429718840000001</v>
      </c>
      <c r="C268" s="2">
        <v>0.038275942</v>
      </c>
      <c r="D268" s="2">
        <v>0.0323772530000001</v>
      </c>
      <c r="E268" s="2">
        <v>0.027165001</v>
      </c>
      <c r="Q268" s="1" t="s">
        <v>10</v>
      </c>
    </row>
    <row r="269" spans="1:17">
      <c r="A269" s="1">
        <v>267</v>
      </c>
      <c r="B269" s="2">
        <v>0</v>
      </c>
      <c r="C269" s="2">
        <v>0</v>
      </c>
      <c r="D269" s="2">
        <v>0</v>
      </c>
      <c r="E269" s="2">
        <v>0</v>
      </c>
      <c r="Q269" s="1" t="s">
        <v>10</v>
      </c>
    </row>
    <row r="270" spans="1:17">
      <c r="A270" s="1">
        <v>268</v>
      </c>
      <c r="B270" s="2">
        <v>0.00778018999999999</v>
      </c>
      <c r="C270" s="2">
        <v>0.00574266600000001</v>
      </c>
      <c r="D270" s="2">
        <v>0.478682182</v>
      </c>
      <c r="E270" s="2">
        <v>0.455700229</v>
      </c>
      <c r="Q270" s="1" t="s">
        <v>10</v>
      </c>
    </row>
    <row r="271" spans="1:17">
      <c r="A271" s="1">
        <v>269</v>
      </c>
      <c r="B271" s="2">
        <v>0.046438567</v>
      </c>
      <c r="C271" s="2">
        <v>0.042289107</v>
      </c>
      <c r="D271" s="2">
        <v>0.064999029</v>
      </c>
      <c r="E271" s="2">
        <v>0.059292767</v>
      </c>
      <c r="Q271" s="1" t="s">
        <v>10</v>
      </c>
    </row>
    <row r="272" spans="1:17">
      <c r="A272" s="1">
        <v>270</v>
      </c>
      <c r="B272" s="2">
        <v>0.03843324</v>
      </c>
      <c r="C272" s="2">
        <v>0.034056663</v>
      </c>
      <c r="D272" s="2">
        <v>0.0242310299999999</v>
      </c>
      <c r="E272" s="2">
        <v>0.0204151969999999</v>
      </c>
      <c r="Q272" s="1" t="s">
        <v>10</v>
      </c>
    </row>
    <row r="273" spans="1:17">
      <c r="A273" s="1">
        <v>271</v>
      </c>
      <c r="B273" s="2">
        <v>0.0431700119999999</v>
      </c>
      <c r="C273" s="2">
        <v>0.03934013</v>
      </c>
      <c r="D273" s="2">
        <v>0.0142619979999999</v>
      </c>
      <c r="E273" s="2">
        <v>0.0107960060000001</v>
      </c>
      <c r="Q273" s="1" t="s">
        <v>10</v>
      </c>
    </row>
    <row r="274" spans="1:17">
      <c r="A274" s="1">
        <v>272</v>
      </c>
      <c r="B274" s="2">
        <v>0.05318205</v>
      </c>
      <c r="C274" s="2">
        <v>0.0460198900000001</v>
      </c>
      <c r="D274" s="2">
        <v>0.021109651</v>
      </c>
      <c r="E274" s="2">
        <v>0.014577268</v>
      </c>
      <c r="Q274" s="1" t="s">
        <v>10</v>
      </c>
    </row>
    <row r="275" spans="1:17">
      <c r="A275" s="1">
        <v>273</v>
      </c>
      <c r="B275" s="2">
        <v>0.045507973</v>
      </c>
      <c r="C275" s="2">
        <v>0.036430344</v>
      </c>
      <c r="D275" s="2">
        <v>0.016755836</v>
      </c>
      <c r="E275" s="2">
        <v>0.0097239899999999</v>
      </c>
      <c r="Q275" s="1" t="s">
        <v>10</v>
      </c>
    </row>
    <row r="276" spans="1:17">
      <c r="A276" s="1">
        <v>274</v>
      </c>
      <c r="B276" s="2">
        <v>0.0529063909999999</v>
      </c>
      <c r="C276" s="2">
        <v>0.047827284</v>
      </c>
      <c r="D276" s="2">
        <v>0.0126617109999999</v>
      </c>
      <c r="E276" s="2">
        <v>0.00979234200000001</v>
      </c>
      <c r="Q276" s="1" t="s">
        <v>10</v>
      </c>
    </row>
    <row r="277" spans="1:17">
      <c r="A277" s="1">
        <v>275</v>
      </c>
      <c r="B277" s="2">
        <v>0.0487685520000001</v>
      </c>
      <c r="C277" s="2">
        <v>0.0414531730000001</v>
      </c>
      <c r="D277" s="2">
        <v>0.0251372230000001</v>
      </c>
      <c r="E277" s="2">
        <v>0.015651795</v>
      </c>
      <c r="Q277" s="1" t="s">
        <v>10</v>
      </c>
    </row>
    <row r="278" spans="1:17">
      <c r="A278" s="1">
        <v>276</v>
      </c>
      <c r="B278" s="2">
        <v>0.038144763</v>
      </c>
      <c r="C278" s="2">
        <v>0.0473541409999999</v>
      </c>
      <c r="D278" s="2">
        <v>0.035017249</v>
      </c>
      <c r="E278" s="2">
        <v>0.0441635819999999</v>
      </c>
      <c r="Q278" s="1" t="s">
        <v>10</v>
      </c>
    </row>
    <row r="279" spans="1:17">
      <c r="A279" s="1">
        <v>277</v>
      </c>
      <c r="B279" s="2">
        <v>0.0530497639999999</v>
      </c>
      <c r="C279" s="2">
        <v>0.0489976320000001</v>
      </c>
      <c r="D279" s="2">
        <v>0.0332397</v>
      </c>
      <c r="E279" s="2">
        <v>0.0259354040000001</v>
      </c>
      <c r="Q279" s="1" t="s">
        <v>10</v>
      </c>
    </row>
    <row r="280" spans="1:17">
      <c r="A280" s="1">
        <v>278</v>
      </c>
      <c r="B280" s="2">
        <v>0.0423381549999999</v>
      </c>
      <c r="C280" s="2">
        <v>0.037004299</v>
      </c>
      <c r="D280" s="2">
        <v>0.02240111</v>
      </c>
      <c r="E280" s="2">
        <v>0.017642235</v>
      </c>
      <c r="Q280" s="1" t="s">
        <v>10</v>
      </c>
    </row>
    <row r="281" spans="1:17">
      <c r="A281" s="1">
        <v>279</v>
      </c>
      <c r="B281" s="2">
        <v>0.050150212</v>
      </c>
      <c r="C281" s="2">
        <v>0.0443013840000001</v>
      </c>
      <c r="D281" s="2">
        <v>0.03680267</v>
      </c>
      <c r="E281" s="2">
        <v>0.027545342</v>
      </c>
      <c r="Q281" s="1" t="s">
        <v>10</v>
      </c>
    </row>
    <row r="282" spans="1:17">
      <c r="A282" s="1">
        <v>280</v>
      </c>
      <c r="B282" s="2">
        <v>0.043783751</v>
      </c>
      <c r="C282" s="2">
        <v>0.0381684609999999</v>
      </c>
      <c r="D282" s="2">
        <v>0.0252728499999999</v>
      </c>
      <c r="E282" s="2">
        <v>0.0181583179999999</v>
      </c>
      <c r="Q282" s="1" t="s">
        <v>10</v>
      </c>
    </row>
    <row r="283" spans="1:17">
      <c r="A283" s="1">
        <v>281</v>
      </c>
      <c r="B283" s="2">
        <v>0.045026843</v>
      </c>
      <c r="C283" s="2">
        <v>0.039606388</v>
      </c>
      <c r="D283" s="2">
        <v>0.024364214</v>
      </c>
      <c r="E283" s="2">
        <v>0.017511352</v>
      </c>
      <c r="Q283" s="1" t="s">
        <v>10</v>
      </c>
    </row>
    <row r="284" spans="1:17">
      <c r="A284" s="1">
        <v>282</v>
      </c>
      <c r="B284" s="2">
        <v>0.042055343</v>
      </c>
      <c r="C284" s="2">
        <v>0.0379690579999999</v>
      </c>
      <c r="D284" s="2">
        <v>0.022657126</v>
      </c>
      <c r="E284" s="2">
        <v>0.01759897</v>
      </c>
      <c r="Q284" s="1" t="s">
        <v>10</v>
      </c>
    </row>
    <row r="285" spans="1:17">
      <c r="A285" s="1">
        <v>283</v>
      </c>
      <c r="B285" s="2">
        <v>0.055728746</v>
      </c>
      <c r="C285" s="2">
        <v>0.0522317550000001</v>
      </c>
      <c r="D285" s="2">
        <v>0.076406964</v>
      </c>
      <c r="E285" s="2">
        <v>0.0727015600000001</v>
      </c>
      <c r="Q285" s="1" t="s">
        <v>10</v>
      </c>
    </row>
    <row r="286" spans="1:17">
      <c r="A286" s="1">
        <v>284</v>
      </c>
      <c r="B286" s="2">
        <v>0.054186272</v>
      </c>
      <c r="C286" s="2">
        <v>0.049812212</v>
      </c>
      <c r="D286" s="2">
        <v>0.0240595849999999</v>
      </c>
      <c r="E286" s="2">
        <v>0.0189793859999999</v>
      </c>
      <c r="Q286" s="1" t="s">
        <v>10</v>
      </c>
    </row>
    <row r="287" spans="1:17">
      <c r="A287" s="1">
        <v>285</v>
      </c>
      <c r="B287" s="2">
        <v>0.0147363469999999</v>
      </c>
      <c r="C287" s="2">
        <v>0.022914157</v>
      </c>
      <c r="D287" s="2">
        <v>0.006556691</v>
      </c>
      <c r="E287" s="2">
        <v>0.00999438500000005</v>
      </c>
      <c r="Q287" s="1" t="s">
        <v>10</v>
      </c>
    </row>
    <row r="288" spans="1:17">
      <c r="A288" s="1">
        <v>286</v>
      </c>
      <c r="B288" s="2">
        <v>0.045594573</v>
      </c>
      <c r="C288" s="2">
        <v>0.041164478</v>
      </c>
      <c r="D288" s="2">
        <v>0.033368671</v>
      </c>
      <c r="E288" s="2">
        <v>0.026476007</v>
      </c>
      <c r="Q288" s="1" t="s">
        <v>10</v>
      </c>
    </row>
    <row r="289" spans="1:17">
      <c r="A289" s="1">
        <v>287</v>
      </c>
      <c r="B289" s="2">
        <v>0.051460821</v>
      </c>
      <c r="C289" s="2">
        <v>0.04547203</v>
      </c>
      <c r="D289" s="2">
        <v>0.0374570360000001</v>
      </c>
      <c r="E289" s="2">
        <v>0.026788747</v>
      </c>
      <c r="Q289" s="1" t="s">
        <v>10</v>
      </c>
    </row>
    <row r="290" spans="1:17">
      <c r="A290" s="1">
        <v>288</v>
      </c>
      <c r="B290" s="2">
        <v>0</v>
      </c>
      <c r="C290" s="2">
        <v>0</v>
      </c>
      <c r="D290" s="2">
        <v>0</v>
      </c>
      <c r="E290" s="2">
        <v>0</v>
      </c>
      <c r="Q290" s="1" t="s">
        <v>10</v>
      </c>
    </row>
    <row r="291" spans="1:17">
      <c r="A291" s="1">
        <v>289</v>
      </c>
      <c r="B291" s="2">
        <v>0</v>
      </c>
      <c r="C291" s="2">
        <v>0</v>
      </c>
      <c r="D291" s="2">
        <v>0</v>
      </c>
      <c r="E291" s="2">
        <v>0</v>
      </c>
      <c r="Q291" s="1" t="s">
        <v>10</v>
      </c>
    </row>
    <row r="292" spans="1:17">
      <c r="A292" s="1">
        <v>290</v>
      </c>
      <c r="B292" s="2">
        <v>0.050941414</v>
      </c>
      <c r="C292" s="2">
        <v>0.044647652</v>
      </c>
      <c r="D292" s="2">
        <v>0.020846197</v>
      </c>
      <c r="E292" s="2">
        <v>0.014802163</v>
      </c>
      <c r="Q292" s="1" t="s">
        <v>10</v>
      </c>
    </row>
    <row r="293" spans="1:17">
      <c r="A293" s="1">
        <v>291</v>
      </c>
      <c r="B293" s="2">
        <v>0.04953733</v>
      </c>
      <c r="C293" s="2">
        <v>0.0524776480000001</v>
      </c>
      <c r="D293" s="2">
        <v>0.037605024</v>
      </c>
      <c r="E293" s="2">
        <v>0.03805555</v>
      </c>
      <c r="Q293" s="1" t="s">
        <v>10</v>
      </c>
    </row>
    <row r="294" spans="1:17">
      <c r="A294" s="1">
        <v>292</v>
      </c>
      <c r="B294" s="2">
        <v>0.030998329</v>
      </c>
      <c r="C294" s="2">
        <v>0.025570653</v>
      </c>
      <c r="D294" s="2">
        <v>0.00665222799999998</v>
      </c>
      <c r="E294" s="2">
        <v>0.00501669900000001</v>
      </c>
      <c r="Q294" s="1" t="s">
        <v>10</v>
      </c>
    </row>
    <row r="295" spans="1:17">
      <c r="A295" s="1">
        <v>293</v>
      </c>
      <c r="B295" s="2">
        <v>0.041370533</v>
      </c>
      <c r="C295" s="2">
        <v>0.028495539</v>
      </c>
      <c r="D295" s="2">
        <v>0.0256374650000001</v>
      </c>
      <c r="E295" s="2">
        <v>0.015963468</v>
      </c>
      <c r="Q295" s="1" t="s">
        <v>10</v>
      </c>
    </row>
    <row r="296" spans="1:17">
      <c r="A296" s="1">
        <v>294</v>
      </c>
      <c r="B296" s="2">
        <v>0.033094235</v>
      </c>
      <c r="C296" s="2">
        <v>0.027337727</v>
      </c>
      <c r="D296" s="2">
        <v>0.03020504</v>
      </c>
      <c r="E296" s="2">
        <v>0.024755796</v>
      </c>
      <c r="Q296" s="1" t="s">
        <v>10</v>
      </c>
    </row>
    <row r="297" spans="1:17">
      <c r="A297" s="1">
        <v>295</v>
      </c>
      <c r="B297" s="2">
        <v>0.027288272</v>
      </c>
      <c r="C297" s="2">
        <v>0.016777172</v>
      </c>
      <c r="D297" s="2">
        <v>0.124342512</v>
      </c>
      <c r="E297" s="2">
        <v>0.091697718</v>
      </c>
      <c r="Q297" s="1" t="s">
        <v>10</v>
      </c>
    </row>
    <row r="298" spans="1:17">
      <c r="A298" s="1">
        <v>296</v>
      </c>
      <c r="B298" s="2">
        <v>0.020156332</v>
      </c>
      <c r="C298" s="2">
        <v>0.010315853</v>
      </c>
      <c r="D298" s="2">
        <v>0.390029364</v>
      </c>
      <c r="E298" s="2">
        <v>0.295690667</v>
      </c>
      <c r="Q298" s="1" t="s">
        <v>10</v>
      </c>
    </row>
    <row r="299" spans="1:17">
      <c r="A299" s="1">
        <v>297</v>
      </c>
      <c r="B299" s="2">
        <v>0.003113817</v>
      </c>
      <c r="C299" s="2">
        <v>0.000374390000000002</v>
      </c>
      <c r="D299" s="2">
        <v>0.326372423</v>
      </c>
      <c r="E299" s="2">
        <v>0.129925353</v>
      </c>
      <c r="Q299" s="1" t="s">
        <v>10</v>
      </c>
    </row>
    <row r="300" spans="1:17">
      <c r="A300" s="1">
        <v>298</v>
      </c>
      <c r="B300" s="2">
        <v>0.0499668210000001</v>
      </c>
      <c r="C300" s="2">
        <v>0.032188235</v>
      </c>
      <c r="D300" s="2">
        <v>0.0547246530000001</v>
      </c>
      <c r="E300" s="2">
        <v>0.0315394640000001</v>
      </c>
      <c r="Q300" s="1" t="s">
        <v>10</v>
      </c>
    </row>
    <row r="301" spans="1:17">
      <c r="A301" s="1">
        <v>299</v>
      </c>
      <c r="B301" s="2">
        <v>0.017116597</v>
      </c>
      <c r="C301" s="2">
        <v>0.013742251</v>
      </c>
      <c r="D301" s="2">
        <v>0.011937381</v>
      </c>
      <c r="E301" s="2">
        <v>0.00929052699999999</v>
      </c>
      <c r="Q301" s="1" t="s">
        <v>10</v>
      </c>
    </row>
    <row r="302" spans="1:17">
      <c r="A302" s="1">
        <v>300</v>
      </c>
      <c r="B302" s="2">
        <v>0.051500196</v>
      </c>
      <c r="C302" s="2">
        <v>0.0528535750000001</v>
      </c>
      <c r="D302" s="2">
        <v>0.020514092</v>
      </c>
      <c r="E302" s="2">
        <v>0.0204782290000001</v>
      </c>
      <c r="Q302" s="1" t="s">
        <v>10</v>
      </c>
    </row>
    <row r="303" spans="1:17">
      <c r="A303" s="1">
        <v>301</v>
      </c>
      <c r="B303" s="2">
        <v>0.0436955210000001</v>
      </c>
      <c r="C303" s="2">
        <v>0.0380410290000001</v>
      </c>
      <c r="D303" s="2">
        <v>0.0185870420000001</v>
      </c>
      <c r="E303" s="2">
        <v>0.013417774</v>
      </c>
      <c r="Q303" s="1" t="s">
        <v>10</v>
      </c>
    </row>
    <row r="304" spans="1:17">
      <c r="A304" s="1">
        <v>302</v>
      </c>
      <c r="B304" s="2">
        <v>0.040914126</v>
      </c>
      <c r="C304" s="2">
        <v>0.034482783</v>
      </c>
      <c r="D304" s="2">
        <v>0.015108629</v>
      </c>
      <c r="E304" s="2">
        <v>0.010381877</v>
      </c>
      <c r="Q304" s="1" t="s">
        <v>10</v>
      </c>
    </row>
    <row r="305" spans="1:17">
      <c r="A305" s="1">
        <v>303</v>
      </c>
      <c r="B305" s="2">
        <v>0.029032294</v>
      </c>
      <c r="C305" s="2">
        <v>0.022949585</v>
      </c>
      <c r="D305" s="2">
        <v>0.00982995399999997</v>
      </c>
      <c r="E305" s="2">
        <v>0.00755493099999999</v>
      </c>
      <c r="Q305" s="1" t="s">
        <v>10</v>
      </c>
    </row>
    <row r="306" spans="1:17">
      <c r="A306" s="1">
        <v>304</v>
      </c>
      <c r="B306" s="2">
        <v>0.0445202180000001</v>
      </c>
      <c r="C306" s="2">
        <v>0.0371931950000001</v>
      </c>
      <c r="D306" s="2">
        <v>0.0211201240000001</v>
      </c>
      <c r="E306" s="2">
        <v>0.013688975</v>
      </c>
      <c r="Q306" s="1" t="s">
        <v>10</v>
      </c>
    </row>
    <row r="307" spans="1:17">
      <c r="A307" s="1">
        <v>305</v>
      </c>
      <c r="B307" s="2">
        <v>0.03954633</v>
      </c>
      <c r="C307" s="2">
        <v>0.0310559800000001</v>
      </c>
      <c r="D307" s="2">
        <v>0.019450372</v>
      </c>
      <c r="E307" s="2">
        <v>0.013079344</v>
      </c>
      <c r="Q307" s="1" t="s">
        <v>10</v>
      </c>
    </row>
    <row r="308" spans="1:17">
      <c r="A308" s="1">
        <v>306</v>
      </c>
      <c r="B308" s="2">
        <v>0</v>
      </c>
      <c r="C308" s="2">
        <v>0</v>
      </c>
      <c r="D308" s="2">
        <v>0</v>
      </c>
      <c r="E308" s="2">
        <v>0</v>
      </c>
      <c r="Q308" s="1" t="s">
        <v>10</v>
      </c>
    </row>
    <row r="309" spans="1:17">
      <c r="A309" s="1">
        <v>307</v>
      </c>
      <c r="B309" s="2">
        <v>0.039013988</v>
      </c>
      <c r="C309" s="2">
        <v>0.033749684</v>
      </c>
      <c r="D309" s="2">
        <v>0.0111337579999999</v>
      </c>
      <c r="E309" s="2">
        <v>0.00816982500000007</v>
      </c>
      <c r="Q309" s="1" t="s">
        <v>10</v>
      </c>
    </row>
    <row r="310" spans="1:17">
      <c r="A310" s="1">
        <v>308</v>
      </c>
      <c r="B310" s="2">
        <v>0.036708699</v>
      </c>
      <c r="C310" s="2">
        <v>0.030721152</v>
      </c>
      <c r="D310" s="2">
        <v>0.017786983</v>
      </c>
      <c r="E310" s="2">
        <v>0.013539115</v>
      </c>
      <c r="Q310" s="1" t="s">
        <v>10</v>
      </c>
    </row>
    <row r="311" spans="1:17">
      <c r="A311" s="1">
        <v>309</v>
      </c>
      <c r="B311" s="2">
        <v>0.044294041</v>
      </c>
      <c r="C311" s="2">
        <v>0.034573989</v>
      </c>
      <c r="D311" s="2">
        <v>0.027309161</v>
      </c>
      <c r="E311" s="2">
        <v>0.017763915</v>
      </c>
      <c r="Q311" s="1" t="s">
        <v>10</v>
      </c>
    </row>
    <row r="312" spans="1:17">
      <c r="A312" s="1">
        <v>310</v>
      </c>
      <c r="B312" s="2">
        <v>0.0425031339999999</v>
      </c>
      <c r="C312" s="2">
        <v>0.0356640570000001</v>
      </c>
      <c r="D312" s="2">
        <v>0.011971541</v>
      </c>
      <c r="E312" s="2">
        <v>0.00867323800000008</v>
      </c>
      <c r="Q312" s="1" t="s">
        <v>10</v>
      </c>
    </row>
    <row r="313" spans="1:17">
      <c r="A313" s="1">
        <v>311</v>
      </c>
      <c r="B313" s="2">
        <v>0</v>
      </c>
      <c r="C313" s="2">
        <v>0</v>
      </c>
      <c r="D313" s="2">
        <v>0</v>
      </c>
      <c r="E313" s="2">
        <v>0</v>
      </c>
      <c r="Q313" s="1" t="s">
        <v>10</v>
      </c>
    </row>
    <row r="314" spans="1:17">
      <c r="A314" s="1">
        <v>312</v>
      </c>
      <c r="B314" s="2">
        <v>0.049548841</v>
      </c>
      <c r="C314" s="2">
        <v>0.041399997</v>
      </c>
      <c r="D314" s="2">
        <v>0.021398039</v>
      </c>
      <c r="E314" s="2">
        <v>0.013552279</v>
      </c>
      <c r="Q314" s="1" t="s">
        <v>10</v>
      </c>
    </row>
    <row r="315" spans="1:17">
      <c r="A315" s="1">
        <v>313</v>
      </c>
      <c r="B315" s="2">
        <v>0.050449093</v>
      </c>
      <c r="C315" s="2">
        <v>0.052352477</v>
      </c>
      <c r="D315" s="2">
        <v>0.0682900200000001</v>
      </c>
      <c r="E315" s="2">
        <v>0.073680082</v>
      </c>
      <c r="Q315" s="1" t="s">
        <v>10</v>
      </c>
    </row>
    <row r="316" spans="1:17">
      <c r="A316" s="1">
        <v>314</v>
      </c>
      <c r="B316" s="2">
        <v>0.00605367500000009</v>
      </c>
      <c r="C316" s="2">
        <v>0.027976629</v>
      </c>
      <c r="D316" s="2">
        <v>0.00623731599999999</v>
      </c>
      <c r="E316" s="2">
        <v>0.043641314</v>
      </c>
      <c r="Q316" s="1" t="s">
        <v>10</v>
      </c>
    </row>
    <row r="317" spans="1:17">
      <c r="A317" s="1">
        <v>315</v>
      </c>
      <c r="B317" s="2">
        <v>0.047013774</v>
      </c>
      <c r="C317" s="2">
        <v>0.041921082</v>
      </c>
      <c r="D317" s="2">
        <v>0.026827545</v>
      </c>
      <c r="E317" s="2">
        <v>0.020115467</v>
      </c>
      <c r="Q317" s="1" t="s">
        <v>10</v>
      </c>
    </row>
    <row r="318" spans="1:17">
      <c r="A318" s="1">
        <v>316</v>
      </c>
      <c r="B318" s="2">
        <v>0.028025704</v>
      </c>
      <c r="C318" s="2">
        <v>0.020985334</v>
      </c>
      <c r="D318" s="2">
        <v>0.00460944200000002</v>
      </c>
      <c r="E318" s="2">
        <v>0.00319134500000001</v>
      </c>
      <c r="Q318" s="1" t="s">
        <v>10</v>
      </c>
    </row>
    <row r="319" spans="1:17">
      <c r="A319" s="1">
        <v>317</v>
      </c>
      <c r="B319" s="2">
        <v>0.031597277</v>
      </c>
      <c r="C319" s="2">
        <v>0.025880835</v>
      </c>
      <c r="D319" s="2">
        <v>0.031871873</v>
      </c>
      <c r="E319" s="2">
        <v>0.025905544</v>
      </c>
      <c r="Q319" s="1" t="s">
        <v>10</v>
      </c>
    </row>
    <row r="320" spans="1:17">
      <c r="A320" s="1">
        <v>318</v>
      </c>
      <c r="B320" s="2">
        <v>0</v>
      </c>
      <c r="C320" s="2">
        <v>0</v>
      </c>
      <c r="D320" s="2">
        <v>0</v>
      </c>
      <c r="E320" s="2">
        <v>0</v>
      </c>
      <c r="Q320" s="1" t="s">
        <v>10</v>
      </c>
    </row>
    <row r="321" spans="1:17">
      <c r="A321" s="1">
        <v>319</v>
      </c>
      <c r="B321" s="2">
        <v>0.031645303</v>
      </c>
      <c r="C321" s="2">
        <v>0.023872773</v>
      </c>
      <c r="D321" s="2">
        <v>0.030955312</v>
      </c>
      <c r="E321" s="2">
        <v>0.023617919</v>
      </c>
      <c r="Q321" s="1" t="s">
        <v>10</v>
      </c>
    </row>
    <row r="322" spans="1:17">
      <c r="A322" s="1">
        <v>320</v>
      </c>
      <c r="B322" s="2">
        <v>0.053987189</v>
      </c>
      <c r="C322" s="2">
        <v>0.048056632</v>
      </c>
      <c r="D322" s="2">
        <v>0.03785275</v>
      </c>
      <c r="E322" s="2">
        <v>0.0275769969999999</v>
      </c>
      <c r="Q322" s="1" t="s">
        <v>10</v>
      </c>
    </row>
    <row r="323" spans="1:17">
      <c r="A323" s="1">
        <v>321</v>
      </c>
      <c r="B323" s="2">
        <v>0.0588502409999999</v>
      </c>
      <c r="C323" s="2">
        <v>0.0556618719999999</v>
      </c>
      <c r="D323" s="2">
        <v>0.114122983</v>
      </c>
      <c r="E323" s="2">
        <v>0.107172351</v>
      </c>
      <c r="Q323" s="1" t="s">
        <v>10</v>
      </c>
    </row>
    <row r="324" spans="1:17">
      <c r="A324" s="1">
        <v>322</v>
      </c>
      <c r="B324" s="2">
        <v>0.038290049</v>
      </c>
      <c r="C324" s="2">
        <v>0.033072554</v>
      </c>
      <c r="D324" s="2">
        <v>0.0231598470000001</v>
      </c>
      <c r="E324" s="2">
        <v>0.018727494</v>
      </c>
      <c r="Q324" s="1" t="s">
        <v>10</v>
      </c>
    </row>
    <row r="325" spans="1:17">
      <c r="A325" s="1">
        <v>323</v>
      </c>
      <c r="B325" s="2">
        <v>0.0337941729999999</v>
      </c>
      <c r="C325" s="2">
        <v>0.02950346</v>
      </c>
      <c r="D325" s="2">
        <v>0.394612638</v>
      </c>
      <c r="E325" s="2">
        <v>0.410457577</v>
      </c>
      <c r="Q325" s="1" t="s">
        <v>10</v>
      </c>
    </row>
    <row r="326" spans="1:17">
      <c r="A326" s="1">
        <v>324</v>
      </c>
      <c r="B326" s="2">
        <v>0</v>
      </c>
      <c r="C326" s="2">
        <v>0</v>
      </c>
      <c r="D326" s="2">
        <v>0</v>
      </c>
      <c r="E326" s="2">
        <v>0</v>
      </c>
      <c r="Q326" s="1" t="s">
        <v>19</v>
      </c>
    </row>
    <row r="327" spans="1:17">
      <c r="A327" s="1">
        <v>325</v>
      </c>
      <c r="B327" s="2">
        <v>0.016376514</v>
      </c>
      <c r="C327" s="2">
        <v>0.002377645</v>
      </c>
      <c r="D327" s="2">
        <v>0.290185898</v>
      </c>
      <c r="E327" s="2">
        <v>0.132659446</v>
      </c>
      <c r="Q327" s="1" t="s">
        <v>19</v>
      </c>
    </row>
    <row r="328" spans="1:17">
      <c r="A328" s="1">
        <v>326</v>
      </c>
      <c r="B328" s="2">
        <v>0</v>
      </c>
      <c r="C328" s="2">
        <v>0</v>
      </c>
      <c r="D328" s="2">
        <v>0</v>
      </c>
      <c r="E328" s="2">
        <v>0</v>
      </c>
      <c r="Q328" s="1" t="s">
        <v>19</v>
      </c>
    </row>
    <row r="329" spans="1:17">
      <c r="A329" s="1">
        <v>327</v>
      </c>
      <c r="B329" s="2">
        <v>0.039470337</v>
      </c>
      <c r="C329" s="2">
        <v>0.0313079590000001</v>
      </c>
      <c r="D329" s="2">
        <v>0.058475631</v>
      </c>
      <c r="E329" s="2">
        <v>0.046018027</v>
      </c>
      <c r="Q329" s="1" t="s">
        <v>19</v>
      </c>
    </row>
    <row r="330" spans="1:17">
      <c r="A330" s="1">
        <v>328</v>
      </c>
      <c r="B330" s="2">
        <v>0.035626375</v>
      </c>
      <c r="C330" s="2">
        <v>0.0299586709999999</v>
      </c>
      <c r="D330" s="2">
        <v>0.039647302</v>
      </c>
      <c r="E330" s="2">
        <v>0.032223644</v>
      </c>
      <c r="Q330" s="1" t="s">
        <v>19</v>
      </c>
    </row>
    <row r="331" spans="1:17">
      <c r="A331" s="1">
        <v>329</v>
      </c>
      <c r="B331" s="2">
        <v>0.026350787</v>
      </c>
      <c r="C331" s="2">
        <v>0.022929863</v>
      </c>
      <c r="D331" s="2">
        <v>0.139606121</v>
      </c>
      <c r="E331" s="2">
        <v>0.121530157</v>
      </c>
      <c r="Q331" s="1" t="s">
        <v>19</v>
      </c>
    </row>
    <row r="332" spans="1:17">
      <c r="A332" s="1">
        <v>330</v>
      </c>
      <c r="B332" s="2">
        <v>0</v>
      </c>
      <c r="C332" s="2">
        <v>0</v>
      </c>
      <c r="D332" s="2">
        <v>0</v>
      </c>
      <c r="E332" s="2">
        <v>0.184565923</v>
      </c>
      <c r="Q332" s="1" t="s">
        <v>19</v>
      </c>
    </row>
    <row r="333" spans="1:17">
      <c r="A333" s="1">
        <v>331</v>
      </c>
      <c r="B333" s="2">
        <v>0</v>
      </c>
      <c r="C333" s="2">
        <v>0</v>
      </c>
      <c r="D333" s="2">
        <v>0</v>
      </c>
      <c r="E333" s="2">
        <v>0.054974049</v>
      </c>
      <c r="Q333" s="1" t="s">
        <v>19</v>
      </c>
    </row>
    <row r="334" spans="1:17">
      <c r="A334" s="1">
        <v>332</v>
      </c>
      <c r="B334" s="2">
        <v>0.037909495</v>
      </c>
      <c r="C334" s="2">
        <v>0.0315463240000001</v>
      </c>
      <c r="D334" s="2">
        <v>0.021326361</v>
      </c>
      <c r="E334" s="2">
        <v>0.016517524</v>
      </c>
      <c r="Q334" s="1" t="s">
        <v>19</v>
      </c>
    </row>
    <row r="335" spans="1:17">
      <c r="A335" s="1">
        <v>333</v>
      </c>
      <c r="B335" s="2">
        <v>0.038100418</v>
      </c>
      <c r="C335" s="2">
        <v>0.0340517920000001</v>
      </c>
      <c r="D335" s="2">
        <v>0.034713947</v>
      </c>
      <c r="E335" s="2">
        <v>0.029423258</v>
      </c>
      <c r="Q335" s="1" t="s">
        <v>19</v>
      </c>
    </row>
    <row r="336" spans="1:17">
      <c r="A336" s="1">
        <v>334</v>
      </c>
      <c r="B336" s="2">
        <v>0</v>
      </c>
      <c r="C336" s="2">
        <v>0</v>
      </c>
      <c r="D336" s="2">
        <v>0</v>
      </c>
      <c r="E336" s="2">
        <v>0.828657289</v>
      </c>
      <c r="Q336" s="1" t="s">
        <v>19</v>
      </c>
    </row>
    <row r="337" spans="1:17">
      <c r="A337" s="1">
        <v>335</v>
      </c>
      <c r="B337" s="2">
        <v>0.031887047</v>
      </c>
      <c r="C337" s="2">
        <v>0.025789489</v>
      </c>
      <c r="D337" s="2">
        <v>0.01946579</v>
      </c>
      <c r="E337" s="2">
        <v>0.014991437</v>
      </c>
      <c r="Q337" s="1" t="s">
        <v>19</v>
      </c>
    </row>
    <row r="338" spans="1:17">
      <c r="A338" s="1">
        <v>336</v>
      </c>
      <c r="B338" s="2">
        <v>0.039241609</v>
      </c>
      <c r="C338" s="2">
        <v>0.031919159</v>
      </c>
      <c r="D338" s="2">
        <v>0.0177546280000001</v>
      </c>
      <c r="E338" s="2">
        <v>0.012661166</v>
      </c>
      <c r="Q338" s="1" t="s">
        <v>19</v>
      </c>
    </row>
    <row r="339" spans="1:17">
      <c r="A339" s="1">
        <v>337</v>
      </c>
      <c r="B339" s="2">
        <v>0.034877246</v>
      </c>
      <c r="C339" s="2">
        <v>0.030593968</v>
      </c>
      <c r="D339" s="2">
        <v>0.014524227</v>
      </c>
      <c r="E339" s="2">
        <v>0.011651082</v>
      </c>
      <c r="Q339" s="1" t="s">
        <v>19</v>
      </c>
    </row>
    <row r="340" spans="1:17">
      <c r="A340" s="1">
        <v>338</v>
      </c>
      <c r="B340" s="2">
        <v>0.0333841610000001</v>
      </c>
      <c r="C340" s="2">
        <v>0.0293671440000001</v>
      </c>
      <c r="D340" s="2">
        <v>0.0107893250000001</v>
      </c>
      <c r="E340" s="2">
        <v>0.008712304</v>
      </c>
      <c r="Q340" s="1" t="s">
        <v>19</v>
      </c>
    </row>
    <row r="341" spans="1:17">
      <c r="A341" s="1">
        <v>339</v>
      </c>
      <c r="B341" s="2">
        <v>0.04756804</v>
      </c>
      <c r="C341" s="2">
        <v>0.0396951170000001</v>
      </c>
      <c r="D341" s="2">
        <v>0.0171392929999999</v>
      </c>
      <c r="E341" s="2">
        <v>0.009414539</v>
      </c>
      <c r="Q341" s="1" t="s">
        <v>19</v>
      </c>
    </row>
    <row r="342" spans="1:17">
      <c r="A342" s="1">
        <v>340</v>
      </c>
      <c r="B342" s="2">
        <v>0</v>
      </c>
      <c r="C342" s="2">
        <v>0</v>
      </c>
      <c r="D342" s="2">
        <v>0</v>
      </c>
      <c r="E342" s="2">
        <v>0.144497083</v>
      </c>
      <c r="Q342" s="1" t="s">
        <v>19</v>
      </c>
    </row>
    <row r="343" spans="1:17">
      <c r="A343" s="1">
        <v>341</v>
      </c>
      <c r="B343" s="2">
        <v>0</v>
      </c>
      <c r="C343" s="2">
        <v>0</v>
      </c>
      <c r="D343" s="2">
        <v>0</v>
      </c>
      <c r="E343" s="2">
        <v>0.260690999</v>
      </c>
      <c r="Q343" s="1" t="s">
        <v>19</v>
      </c>
    </row>
    <row r="344" spans="1:17">
      <c r="A344" s="1">
        <v>342</v>
      </c>
      <c r="B344" s="2">
        <v>0.04416271</v>
      </c>
      <c r="C344" s="2">
        <v>0.036637925</v>
      </c>
      <c r="D344" s="2">
        <v>0.050482289</v>
      </c>
      <c r="E344" s="2">
        <v>0.038047046</v>
      </c>
      <c r="Q344" s="1" t="s">
        <v>19</v>
      </c>
    </row>
    <row r="345" spans="1:17">
      <c r="A345" s="1">
        <v>343</v>
      </c>
      <c r="B345" s="2">
        <v>0</v>
      </c>
      <c r="C345" s="2">
        <v>0</v>
      </c>
      <c r="D345" s="2">
        <v>0</v>
      </c>
      <c r="E345" s="2">
        <v>0</v>
      </c>
      <c r="Q345" s="1" t="s">
        <v>19</v>
      </c>
    </row>
    <row r="346" spans="1:17">
      <c r="A346" s="1">
        <v>344</v>
      </c>
      <c r="B346" s="2">
        <v>0.045835494</v>
      </c>
      <c r="C346" s="2">
        <v>0.00669335600000001</v>
      </c>
      <c r="D346" s="2">
        <v>0.0616121629999999</v>
      </c>
      <c r="E346" s="2">
        <v>0.172937027</v>
      </c>
      <c r="Q346" s="1" t="s">
        <v>19</v>
      </c>
    </row>
    <row r="347" spans="1:17">
      <c r="A347" s="1">
        <v>345</v>
      </c>
      <c r="B347" s="2">
        <v>0.032428789</v>
      </c>
      <c r="C347" s="2">
        <v>0.0292476290000001</v>
      </c>
      <c r="D347" s="2">
        <v>0.030384586</v>
      </c>
      <c r="E347" s="2">
        <v>0.026786022</v>
      </c>
      <c r="Q347" s="1" t="s">
        <v>19</v>
      </c>
    </row>
    <row r="348" spans="1:17">
      <c r="A348" s="1">
        <v>346</v>
      </c>
      <c r="B348" s="2">
        <v>0.034862444</v>
      </c>
      <c r="C348" s="2">
        <v>0.0304605019999999</v>
      </c>
      <c r="D348" s="2">
        <v>0.020371528</v>
      </c>
      <c r="E348" s="2">
        <v>0.016618656</v>
      </c>
      <c r="Q348" s="1" t="s">
        <v>19</v>
      </c>
    </row>
    <row r="349" spans="1:17">
      <c r="A349" s="1">
        <v>347</v>
      </c>
      <c r="B349" s="2">
        <v>0.00580421</v>
      </c>
      <c r="C349" s="2">
        <v>0.00179953299999999</v>
      </c>
      <c r="D349" s="2">
        <v>0.103902337</v>
      </c>
      <c r="E349" s="2">
        <v>0.059635142</v>
      </c>
      <c r="Q349" s="1" t="s">
        <v>19</v>
      </c>
    </row>
    <row r="350" spans="1:17">
      <c r="A350" s="1">
        <v>348</v>
      </c>
      <c r="B350" s="2">
        <v>0.027322603</v>
      </c>
      <c r="C350" s="2">
        <v>0.008193804</v>
      </c>
      <c r="D350" s="2">
        <v>0.0897571</v>
      </c>
      <c r="E350" s="2">
        <v>0.047700314</v>
      </c>
      <c r="Q350" s="1" t="s">
        <v>19</v>
      </c>
    </row>
    <row r="351" spans="1:17">
      <c r="A351" s="1">
        <v>349</v>
      </c>
      <c r="B351" s="2">
        <v>0.031527348</v>
      </c>
      <c r="C351" s="2">
        <v>0.00977025299999995</v>
      </c>
      <c r="D351" s="2">
        <v>0.072400063</v>
      </c>
      <c r="E351" s="2">
        <v>0.031015463</v>
      </c>
      <c r="Q351" s="1" t="s">
        <v>19</v>
      </c>
    </row>
    <row r="352" spans="1:17">
      <c r="A352" s="1">
        <v>350</v>
      </c>
      <c r="B352" s="2">
        <v>0</v>
      </c>
      <c r="C352" s="2">
        <v>0</v>
      </c>
      <c r="D352" s="2">
        <v>0</v>
      </c>
      <c r="E352" s="2">
        <v>0.468208256</v>
      </c>
      <c r="Q352" s="1" t="s">
        <v>19</v>
      </c>
    </row>
    <row r="353" spans="1:17">
      <c r="A353" s="1">
        <v>351</v>
      </c>
      <c r="B353" s="2">
        <v>0.020591903</v>
      </c>
      <c r="C353" s="2">
        <v>0.01243734</v>
      </c>
      <c r="D353" s="2">
        <v>0.066395425</v>
      </c>
      <c r="E353" s="2">
        <v>0.042274565</v>
      </c>
      <c r="Q353" s="1" t="s">
        <v>19</v>
      </c>
    </row>
    <row r="354" spans="1:17">
      <c r="A354" s="1">
        <v>352</v>
      </c>
      <c r="B354" s="2">
        <v>0</v>
      </c>
      <c r="C354" s="2">
        <v>0</v>
      </c>
      <c r="D354" s="2">
        <v>0</v>
      </c>
      <c r="E354" s="2">
        <v>0.126449383</v>
      </c>
      <c r="Q354" s="1" t="s">
        <v>19</v>
      </c>
    </row>
    <row r="355" spans="1:17">
      <c r="A355" s="1">
        <v>353</v>
      </c>
      <c r="B355" s="2">
        <v>0.00561629100000002</v>
      </c>
      <c r="C355" s="2">
        <v>0.003752749</v>
      </c>
      <c r="D355" s="2">
        <v>0.042410448</v>
      </c>
      <c r="E355" s="2">
        <v>0.03198068</v>
      </c>
      <c r="Q355" s="1" t="s">
        <v>19</v>
      </c>
    </row>
    <row r="356" spans="1:17">
      <c r="A356" s="1">
        <v>354</v>
      </c>
      <c r="B356" s="2">
        <v>0.016130695</v>
      </c>
      <c r="C356" s="2">
        <v>0.011047344</v>
      </c>
      <c r="D356" s="2">
        <v>0.471085567</v>
      </c>
      <c r="E356" s="2">
        <v>0.451527758</v>
      </c>
      <c r="Q356" s="1" t="s">
        <v>19</v>
      </c>
    </row>
    <row r="357" spans="1:17">
      <c r="A357" s="1">
        <v>355</v>
      </c>
      <c r="B357" s="2">
        <v>0.004974058</v>
      </c>
      <c r="C357" s="2">
        <v>0.00322558099999998</v>
      </c>
      <c r="D357" s="2">
        <v>0.36445705</v>
      </c>
      <c r="E357" s="2">
        <v>0.30189443</v>
      </c>
      <c r="Q357" s="1" t="s">
        <v>19</v>
      </c>
    </row>
    <row r="358" spans="1:17">
      <c r="A358" s="1">
        <v>356</v>
      </c>
      <c r="B358" s="2">
        <v>0.015097216</v>
      </c>
      <c r="C358" s="2">
        <v>0.00293866400000001</v>
      </c>
      <c r="D358" s="2">
        <v>0.139023732</v>
      </c>
      <c r="E358" s="2">
        <v>0.064442252</v>
      </c>
      <c r="Q358" s="1" t="s">
        <v>19</v>
      </c>
    </row>
    <row r="359" spans="1:17">
      <c r="A359" s="1">
        <v>357</v>
      </c>
      <c r="B359" s="2">
        <v>0</v>
      </c>
      <c r="C359" s="2">
        <v>0</v>
      </c>
      <c r="D359" s="2">
        <v>0</v>
      </c>
      <c r="E359" s="2">
        <v>0.390025829</v>
      </c>
      <c r="Q359" s="1" t="s">
        <v>19</v>
      </c>
    </row>
    <row r="360" spans="1:17">
      <c r="A360" s="1">
        <v>358</v>
      </c>
      <c r="B360" s="2">
        <v>0.023797175</v>
      </c>
      <c r="C360" s="2">
        <v>0.016393613</v>
      </c>
      <c r="D360" s="2">
        <v>0.045226457</v>
      </c>
      <c r="E360" s="2">
        <v>0.031251501</v>
      </c>
      <c r="Q360" s="1" t="s">
        <v>19</v>
      </c>
    </row>
    <row r="361" spans="1:17">
      <c r="A361" s="1">
        <v>359</v>
      </c>
      <c r="B361" s="2">
        <v>0.00420958399999999</v>
      </c>
      <c r="C361" s="2">
        <v>0.000578225000000002</v>
      </c>
      <c r="D361" s="2">
        <v>0.741317253</v>
      </c>
      <c r="E361" s="2">
        <v>0.592718205</v>
      </c>
      <c r="Q361" s="1" t="s">
        <v>19</v>
      </c>
    </row>
    <row r="362" spans="1:17">
      <c r="A362" s="1">
        <v>360</v>
      </c>
      <c r="B362" s="2">
        <v>0.005066971</v>
      </c>
      <c r="C362" s="2">
        <v>0.000558863999999999</v>
      </c>
      <c r="D362" s="2">
        <v>0.149115796</v>
      </c>
      <c r="E362" s="2">
        <v>0.050129216</v>
      </c>
      <c r="Q362" s="1" t="s">
        <v>19</v>
      </c>
    </row>
    <row r="363" spans="1:17">
      <c r="A363" s="1">
        <v>361</v>
      </c>
      <c r="B363" s="2">
        <v>0</v>
      </c>
      <c r="C363" s="2">
        <v>0</v>
      </c>
      <c r="D363" s="2">
        <v>0</v>
      </c>
      <c r="E363" s="2">
        <v>0.961552098</v>
      </c>
      <c r="Q363" s="1" t="s">
        <v>19</v>
      </c>
    </row>
    <row r="364" spans="1:17">
      <c r="A364" s="1">
        <v>362</v>
      </c>
      <c r="B364" s="2">
        <v>0</v>
      </c>
      <c r="C364" s="2">
        <v>0</v>
      </c>
      <c r="D364" s="2">
        <v>0</v>
      </c>
      <c r="E364" s="2">
        <v>0</v>
      </c>
      <c r="Q364" s="1" t="s">
        <v>19</v>
      </c>
    </row>
    <row r="365" spans="1:17">
      <c r="A365" s="1">
        <v>363</v>
      </c>
      <c r="B365" s="2">
        <v>0.00824079699999999</v>
      </c>
      <c r="C365" s="2">
        <v>0.00537817600000001</v>
      </c>
      <c r="D365" s="2">
        <v>0.022329617</v>
      </c>
      <c r="E365" s="2">
        <v>0.016435321</v>
      </c>
      <c r="Q365" s="1" t="s">
        <v>19</v>
      </c>
    </row>
    <row r="366" spans="1:17">
      <c r="A366" s="1">
        <v>364</v>
      </c>
      <c r="B366" s="2">
        <v>0.020870796</v>
      </c>
      <c r="C366" s="2">
        <v>0.010572355</v>
      </c>
      <c r="D366" s="2">
        <v>0.47367246</v>
      </c>
      <c r="E366" s="2">
        <v>0.420812851</v>
      </c>
      <c r="Q366" s="1" t="s">
        <v>19</v>
      </c>
    </row>
    <row r="367" spans="1:17">
      <c r="A367" s="1">
        <v>365</v>
      </c>
      <c r="B367" s="2">
        <v>0.000703382000000002</v>
      </c>
      <c r="C367" s="2">
        <v>2.60759999999999e-5</v>
      </c>
      <c r="D367" s="2">
        <v>0.597210764</v>
      </c>
      <c r="E367" s="2">
        <v>0.185423493</v>
      </c>
      <c r="Q367" s="1" t="s">
        <v>19</v>
      </c>
    </row>
    <row r="368" spans="1:17">
      <c r="A368" s="1">
        <v>366</v>
      </c>
      <c r="B368" s="2">
        <v>0.00402499499999998</v>
      </c>
      <c r="C368" s="2">
        <v>0.000908724999999999</v>
      </c>
      <c r="D368" s="2">
        <v>0.048086952</v>
      </c>
      <c r="E368" s="2">
        <v>0.023016693</v>
      </c>
      <c r="Q368" s="1" t="s">
        <v>19</v>
      </c>
    </row>
    <row r="369" spans="1:17">
      <c r="A369" s="1">
        <v>367</v>
      </c>
      <c r="B369" s="2">
        <v>0</v>
      </c>
      <c r="C369" s="2">
        <v>0.020885716</v>
      </c>
      <c r="D369" s="2">
        <v>0</v>
      </c>
      <c r="E369" s="2">
        <v>0.083636428</v>
      </c>
      <c r="Q369" s="1" t="s">
        <v>19</v>
      </c>
    </row>
    <row r="370" spans="1:17">
      <c r="A370" s="1">
        <v>368</v>
      </c>
      <c r="B370" s="2">
        <v>0.012328451</v>
      </c>
      <c r="C370" s="2">
        <v>0.00725184000000001</v>
      </c>
      <c r="D370" s="2">
        <v>0.026898767</v>
      </c>
      <c r="E370" s="2">
        <v>0.018566434</v>
      </c>
      <c r="Q370" s="1" t="s">
        <v>19</v>
      </c>
    </row>
    <row r="371" spans="1:17">
      <c r="A371" s="1">
        <v>369</v>
      </c>
      <c r="B371" s="2">
        <v>0</v>
      </c>
      <c r="C371" s="2">
        <v>0</v>
      </c>
      <c r="D371" s="2">
        <v>0</v>
      </c>
      <c r="E371" s="2">
        <v>0</v>
      </c>
      <c r="Q371" s="1" t="s">
        <v>19</v>
      </c>
    </row>
    <row r="372" spans="1:17">
      <c r="A372" s="1">
        <v>370</v>
      </c>
      <c r="B372" s="2">
        <v>0</v>
      </c>
      <c r="C372" s="2">
        <v>0.00798655700000006</v>
      </c>
      <c r="D372" s="2">
        <v>0</v>
      </c>
      <c r="E372" s="2">
        <v>0.00810955700000004</v>
      </c>
      <c r="Q372" s="1" t="s">
        <v>19</v>
      </c>
    </row>
    <row r="373" spans="1:17">
      <c r="A373" s="1">
        <v>371</v>
      </c>
      <c r="B373" s="2">
        <v>0</v>
      </c>
      <c r="C373" s="2">
        <v>0</v>
      </c>
      <c r="D373" s="2">
        <v>0</v>
      </c>
      <c r="E373" s="2">
        <v>0</v>
      </c>
      <c r="Q373" s="1" t="s">
        <v>19</v>
      </c>
    </row>
    <row r="374" spans="1:17">
      <c r="A374" s="1">
        <v>372</v>
      </c>
      <c r="B374" s="2">
        <v>0</v>
      </c>
      <c r="C374" s="2">
        <v>0</v>
      </c>
      <c r="D374" s="2">
        <v>0</v>
      </c>
      <c r="E374" s="2">
        <v>0.959697455</v>
      </c>
      <c r="Q374" s="1" t="s">
        <v>19</v>
      </c>
    </row>
    <row r="375" spans="1:17">
      <c r="A375" s="1">
        <v>373</v>
      </c>
      <c r="B375" s="2">
        <v>0.032158037</v>
      </c>
      <c r="C375" s="2">
        <v>0.023752385</v>
      </c>
      <c r="D375" s="2">
        <v>0.04773334</v>
      </c>
      <c r="E375" s="2">
        <v>0.036200051</v>
      </c>
      <c r="Q375" s="1" t="s">
        <v>19</v>
      </c>
    </row>
    <row r="376" spans="1:17">
      <c r="A376" s="1">
        <v>374</v>
      </c>
      <c r="B376" s="2">
        <v>0.015402117</v>
      </c>
      <c r="C376" s="2">
        <v>0.01262792</v>
      </c>
      <c r="D376" s="2">
        <v>0.016845962</v>
      </c>
      <c r="E376" s="2">
        <v>0.014281654</v>
      </c>
      <c r="Q376" s="1" t="s">
        <v>19</v>
      </c>
    </row>
    <row r="377" spans="1:17">
      <c r="A377" s="1">
        <v>375</v>
      </c>
      <c r="B377" s="2">
        <v>0.030358441</v>
      </c>
      <c r="C377" s="2">
        <v>0.025221831</v>
      </c>
      <c r="D377" s="2">
        <v>0.028687022</v>
      </c>
      <c r="E377" s="2">
        <v>0.024158383</v>
      </c>
      <c r="Q377" s="1" t="s">
        <v>19</v>
      </c>
    </row>
    <row r="378" spans="1:17">
      <c r="A378" s="1">
        <v>376</v>
      </c>
      <c r="B378" s="2">
        <v>0.029120639</v>
      </c>
      <c r="C378" s="2">
        <v>0.024542217</v>
      </c>
      <c r="D378" s="2">
        <v>0.031042916</v>
      </c>
      <c r="E378" s="2">
        <v>0.026065797</v>
      </c>
      <c r="Q378" s="1" t="s">
        <v>19</v>
      </c>
    </row>
    <row r="379" spans="1:17">
      <c r="A379" s="1">
        <v>377</v>
      </c>
      <c r="B379" s="2">
        <v>0.039955916</v>
      </c>
      <c r="C379" s="2">
        <v>0.0337156280000001</v>
      </c>
      <c r="D379" s="2">
        <v>0.033489816</v>
      </c>
      <c r="E379" s="2">
        <v>0.0269351090000001</v>
      </c>
      <c r="Q379" s="1" t="s">
        <v>19</v>
      </c>
    </row>
    <row r="380" spans="1:17">
      <c r="A380" s="1">
        <v>378</v>
      </c>
      <c r="B380" s="2">
        <v>0.033365324</v>
      </c>
      <c r="C380" s="2">
        <v>0.028700391</v>
      </c>
      <c r="D380" s="2">
        <v>0.038131592</v>
      </c>
      <c r="E380" s="2">
        <v>0.032459075</v>
      </c>
      <c r="Q380" s="1" t="s">
        <v>19</v>
      </c>
    </row>
    <row r="381" spans="1:17">
      <c r="A381" s="1">
        <v>379</v>
      </c>
      <c r="B381" s="2">
        <v>0.043581129</v>
      </c>
      <c r="C381" s="2">
        <v>0.0361542880000001</v>
      </c>
      <c r="D381" s="2">
        <v>0.0222546859999999</v>
      </c>
      <c r="E381" s="2">
        <v>0.015833367</v>
      </c>
      <c r="Q381" s="1" t="s">
        <v>19</v>
      </c>
    </row>
    <row r="382" spans="1:17">
      <c r="A382" s="1">
        <v>380</v>
      </c>
      <c r="B382" s="2">
        <v>0.035099396</v>
      </c>
      <c r="C382" s="2">
        <v>0.02648543</v>
      </c>
      <c r="D382" s="2">
        <v>0.381286649</v>
      </c>
      <c r="E382" s="2">
        <v>0.385289139</v>
      </c>
      <c r="Q382" s="1" t="s">
        <v>19</v>
      </c>
    </row>
    <row r="383" spans="1:17">
      <c r="A383" s="1">
        <v>381</v>
      </c>
      <c r="B383" s="2">
        <v>0.001702962</v>
      </c>
      <c r="C383" s="2">
        <v>0.000467767000000001</v>
      </c>
      <c r="D383" s="2">
        <v>0.097837976</v>
      </c>
      <c r="E383" s="2">
        <v>0.046493633</v>
      </c>
      <c r="Q383" s="1" t="s">
        <v>19</v>
      </c>
    </row>
    <row r="384" spans="1:17">
      <c r="A384" s="1">
        <v>382</v>
      </c>
      <c r="B384" s="2">
        <v>0</v>
      </c>
      <c r="C384" s="2">
        <v>0</v>
      </c>
      <c r="D384" s="2">
        <v>0</v>
      </c>
      <c r="E384" s="2">
        <v>0.492558486</v>
      </c>
      <c r="Q384" s="1" t="s">
        <v>19</v>
      </c>
    </row>
    <row r="385" spans="1:17">
      <c r="A385" s="1">
        <v>383</v>
      </c>
      <c r="B385" s="2">
        <v>0</v>
      </c>
      <c r="C385" s="2">
        <v>0</v>
      </c>
      <c r="D385" s="2">
        <v>0</v>
      </c>
      <c r="E385" s="2">
        <v>0</v>
      </c>
      <c r="Q385" s="1" t="s">
        <v>19</v>
      </c>
    </row>
    <row r="386" spans="1:17">
      <c r="A386" s="1">
        <v>384</v>
      </c>
      <c r="B386" s="2">
        <v>0</v>
      </c>
      <c r="C386" s="2">
        <v>0</v>
      </c>
      <c r="D386" s="2">
        <v>0</v>
      </c>
      <c r="E386" s="2">
        <v>0</v>
      </c>
      <c r="Q386" s="1" t="s">
        <v>19</v>
      </c>
    </row>
    <row r="387" spans="1:17">
      <c r="A387" s="1">
        <v>385</v>
      </c>
      <c r="B387" s="2">
        <v>0.011560785</v>
      </c>
      <c r="C387" s="2">
        <v>0.00796792900000001</v>
      </c>
      <c r="D387" s="2">
        <v>0.059675692</v>
      </c>
      <c r="E387" s="2">
        <v>0.041212659</v>
      </c>
      <c r="Q387" s="1" t="s">
        <v>19</v>
      </c>
    </row>
    <row r="388" spans="1:17">
      <c r="A388" s="1">
        <v>386</v>
      </c>
      <c r="B388" s="2">
        <v>0.049054024</v>
      </c>
      <c r="C388" s="2">
        <v>0.006202335</v>
      </c>
      <c r="D388" s="2">
        <v>0.29714287</v>
      </c>
      <c r="E388" s="2">
        <v>0.195144041</v>
      </c>
      <c r="Q388" s="1" t="s">
        <v>19</v>
      </c>
    </row>
    <row r="389" spans="1:17">
      <c r="A389" s="1">
        <v>387</v>
      </c>
      <c r="B389" s="2">
        <v>0.021028381</v>
      </c>
      <c r="C389" s="2">
        <v>0.013174513</v>
      </c>
      <c r="D389" s="2">
        <v>0.06262888</v>
      </c>
      <c r="E389" s="2">
        <v>0.041970178</v>
      </c>
      <c r="Q389" s="1" t="s">
        <v>19</v>
      </c>
    </row>
    <row r="390" spans="1:17">
      <c r="A390" s="1">
        <v>388</v>
      </c>
      <c r="B390" s="2">
        <v>0.024676424</v>
      </c>
      <c r="C390" s="2">
        <v>0.021306052</v>
      </c>
      <c r="D390" s="2">
        <v>0.121420749</v>
      </c>
      <c r="E390" s="2">
        <v>0.109848764</v>
      </c>
      <c r="Q390" s="1" t="s">
        <v>19</v>
      </c>
    </row>
    <row r="391" spans="1:17">
      <c r="A391" s="1">
        <v>389</v>
      </c>
      <c r="B391" s="2">
        <v>0</v>
      </c>
      <c r="C391" s="2">
        <v>0</v>
      </c>
      <c r="D391" s="2">
        <v>0</v>
      </c>
      <c r="E391" s="2">
        <v>0</v>
      </c>
      <c r="Q391" s="1" t="s">
        <v>19</v>
      </c>
    </row>
    <row r="392" spans="1:17">
      <c r="A392" s="1">
        <v>390</v>
      </c>
      <c r="B392" s="2">
        <v>0</v>
      </c>
      <c r="C392" s="2">
        <v>0</v>
      </c>
      <c r="D392" s="2">
        <v>0</v>
      </c>
      <c r="E392" s="2">
        <v>0</v>
      </c>
      <c r="Q392" s="1" t="s">
        <v>19</v>
      </c>
    </row>
    <row r="393" spans="1:17">
      <c r="A393" s="1">
        <v>391</v>
      </c>
      <c r="B393" s="2">
        <v>0.017554075</v>
      </c>
      <c r="C393" s="2">
        <v>0.012118608</v>
      </c>
      <c r="D393" s="2">
        <v>0.023152488</v>
      </c>
      <c r="E393" s="2">
        <v>0.016821761</v>
      </c>
      <c r="Q393" s="1" t="s">
        <v>19</v>
      </c>
    </row>
    <row r="394" spans="1:17">
      <c r="A394" s="1">
        <v>392</v>
      </c>
      <c r="B394" s="2">
        <v>0.014042585</v>
      </c>
      <c r="C394" s="2">
        <v>0.007032606</v>
      </c>
      <c r="D394" s="2">
        <v>0.157340037</v>
      </c>
      <c r="E394" s="2">
        <v>0.113126487</v>
      </c>
      <c r="Q394" s="1" t="s">
        <v>19</v>
      </c>
    </row>
    <row r="395" spans="1:17">
      <c r="A395" s="1">
        <v>393</v>
      </c>
      <c r="B395" s="2">
        <v>0.011142032</v>
      </c>
      <c r="C395" s="2">
        <v>0.009283561</v>
      </c>
      <c r="D395" s="2">
        <v>0.140663622</v>
      </c>
      <c r="E395" s="2">
        <v>0.127647377</v>
      </c>
      <c r="Q395" s="1" t="s">
        <v>19</v>
      </c>
    </row>
    <row r="396" spans="1:17">
      <c r="A396" s="1">
        <v>394</v>
      </c>
      <c r="B396" s="2">
        <v>0</v>
      </c>
      <c r="C396" s="2">
        <v>0</v>
      </c>
      <c r="D396" s="2">
        <v>0</v>
      </c>
      <c r="E396" s="2">
        <v>0</v>
      </c>
      <c r="Q396" s="1" t="s">
        <v>19</v>
      </c>
    </row>
    <row r="397" spans="1:17">
      <c r="A397" s="1">
        <v>395</v>
      </c>
      <c r="B397" s="2">
        <v>0.022405881</v>
      </c>
      <c r="C397" s="2">
        <v>0.0186727880000001</v>
      </c>
      <c r="D397" s="2">
        <v>0.098942189</v>
      </c>
      <c r="E397" s="2">
        <v>0.085588362</v>
      </c>
      <c r="Q397" s="1" t="s">
        <v>19</v>
      </c>
    </row>
    <row r="398" spans="1:17">
      <c r="A398" s="1">
        <v>396</v>
      </c>
      <c r="B398" s="2">
        <v>0.010584874</v>
      </c>
      <c r="C398" s="2">
        <v>0.00561129700000002</v>
      </c>
      <c r="D398" s="2">
        <v>0.065480092</v>
      </c>
      <c r="E398" s="2">
        <v>0.04567472</v>
      </c>
      <c r="Q398" s="1" t="s">
        <v>19</v>
      </c>
    </row>
    <row r="399" spans="1:17">
      <c r="A399" s="1">
        <v>397</v>
      </c>
      <c r="B399" s="2">
        <v>0.00511852099999999</v>
      </c>
      <c r="C399" s="2">
        <v>0.002681278</v>
      </c>
      <c r="D399" s="2">
        <v>0.191347015</v>
      </c>
      <c r="E399" s="2">
        <v>0.144614154</v>
      </c>
      <c r="Q399" s="1" t="s">
        <v>19</v>
      </c>
    </row>
    <row r="400" spans="1:17">
      <c r="A400" s="1">
        <v>398</v>
      </c>
      <c r="B400" s="2">
        <v>0.00420954700000001</v>
      </c>
      <c r="C400" s="2">
        <v>0.00232251</v>
      </c>
      <c r="D400" s="2">
        <v>0.447697259</v>
      </c>
      <c r="E400" s="2">
        <v>0.363437467</v>
      </c>
      <c r="Q400" s="1" t="s">
        <v>19</v>
      </c>
    </row>
    <row r="401" spans="1:17">
      <c r="A401" s="1">
        <v>399</v>
      </c>
      <c r="B401" s="2">
        <v>0.024100217</v>
      </c>
      <c r="C401" s="2">
        <v>0.02156604</v>
      </c>
      <c r="D401" s="2">
        <v>0.146715459</v>
      </c>
      <c r="E401" s="2">
        <v>0.134046723</v>
      </c>
      <c r="Q401" s="1" t="s">
        <v>19</v>
      </c>
    </row>
    <row r="402" spans="1:17">
      <c r="A402" s="1">
        <v>400</v>
      </c>
      <c r="B402" s="2">
        <v>0.004209559</v>
      </c>
      <c r="C402" s="2">
        <v>0.002733323</v>
      </c>
      <c r="D402" s="2">
        <v>0.069621289</v>
      </c>
      <c r="E402" s="2">
        <v>0.056074069</v>
      </c>
      <c r="Q402" s="1" t="s">
        <v>19</v>
      </c>
    </row>
    <row r="403" spans="1:17">
      <c r="A403" s="1">
        <v>401</v>
      </c>
      <c r="B403" s="2">
        <v>0.036254939</v>
      </c>
      <c r="C403" s="2">
        <v>0.0312693079999999</v>
      </c>
      <c r="D403" s="2">
        <v>0.0191824159999999</v>
      </c>
      <c r="E403" s="2">
        <v>0.01545931</v>
      </c>
      <c r="Q403" s="1" t="s">
        <v>19</v>
      </c>
    </row>
    <row r="404" spans="1:17">
      <c r="A404" s="1">
        <v>402</v>
      </c>
      <c r="B404" s="2">
        <v>0.031650639</v>
      </c>
      <c r="C404" s="2">
        <v>0.026844745</v>
      </c>
      <c r="D404" s="2">
        <v>0.00871962400000004</v>
      </c>
      <c r="E404" s="2">
        <v>0.00699758299999997</v>
      </c>
      <c r="Q404" s="1" t="s">
        <v>19</v>
      </c>
    </row>
    <row r="405" spans="1:17">
      <c r="A405" s="1">
        <v>403</v>
      </c>
      <c r="B405" s="2">
        <v>0.041026334</v>
      </c>
      <c r="C405" s="2">
        <v>0.033581705</v>
      </c>
      <c r="D405" s="2">
        <v>0.030141325</v>
      </c>
      <c r="E405" s="2">
        <v>0.021957706</v>
      </c>
      <c r="Q405" s="1" t="s">
        <v>19</v>
      </c>
    </row>
    <row r="406" spans="1:17">
      <c r="A406" s="1">
        <v>404</v>
      </c>
      <c r="B406" s="2">
        <v>0.046269699</v>
      </c>
      <c r="C406" s="2">
        <v>0.03695616</v>
      </c>
      <c r="D406" s="2">
        <v>0.043910255</v>
      </c>
      <c r="E406" s="2">
        <v>0.034380466</v>
      </c>
      <c r="Q406" s="1" t="s">
        <v>19</v>
      </c>
    </row>
    <row r="407" spans="1:17">
      <c r="A407" s="1">
        <v>405</v>
      </c>
      <c r="B407" s="2">
        <v>0.035263334</v>
      </c>
      <c r="C407" s="2">
        <v>0.030052724</v>
      </c>
      <c r="D407" s="2">
        <v>0.00962306400000001</v>
      </c>
      <c r="E407" s="2">
        <v>0.00754778099999998</v>
      </c>
      <c r="Q407" s="1" t="s">
        <v>19</v>
      </c>
    </row>
    <row r="408" spans="1:17">
      <c r="A408" s="1">
        <v>406</v>
      </c>
      <c r="B408" s="2">
        <v>0.053591005</v>
      </c>
      <c r="C408" s="2">
        <v>0.045242856</v>
      </c>
      <c r="D408" s="2">
        <v>0.032626227</v>
      </c>
      <c r="E408" s="2">
        <v>0.01938</v>
      </c>
      <c r="Q408" s="1" t="s">
        <v>19</v>
      </c>
    </row>
    <row r="409" spans="1:17">
      <c r="A409" s="1">
        <v>407</v>
      </c>
      <c r="B409" s="2">
        <v>0.029263547</v>
      </c>
      <c r="C409" s="2">
        <v>0.002735553</v>
      </c>
      <c r="D409" s="2">
        <v>0.102121796</v>
      </c>
      <c r="E409" s="2">
        <v>0.031849704</v>
      </c>
      <c r="Q409" s="1" t="s">
        <v>19</v>
      </c>
    </row>
    <row r="410" spans="1:17">
      <c r="A410" s="1">
        <v>408</v>
      </c>
      <c r="B410" s="2">
        <v>0.00848555199999998</v>
      </c>
      <c r="C410" s="2">
        <v>0.000168337000000001</v>
      </c>
      <c r="D410" s="2">
        <v>0.084772679</v>
      </c>
      <c r="E410" s="2">
        <v>0.012400972</v>
      </c>
      <c r="Q410" s="1" t="s">
        <v>19</v>
      </c>
    </row>
    <row r="411" spans="1:17">
      <c r="A411" s="1">
        <v>409</v>
      </c>
      <c r="B411" s="2">
        <v>0.010432911</v>
      </c>
      <c r="C411" s="2">
        <v>0.006927609</v>
      </c>
      <c r="D411" s="2">
        <v>0.00822647700000001</v>
      </c>
      <c r="E411" s="2">
        <v>0.00631024499999999</v>
      </c>
      <c r="Q411" s="1" t="s">
        <v>19</v>
      </c>
    </row>
    <row r="412" spans="1:17">
      <c r="A412" s="1">
        <v>410</v>
      </c>
      <c r="B412" s="2">
        <v>0.034194913</v>
      </c>
      <c r="C412" s="2">
        <v>0.019188126</v>
      </c>
      <c r="D412" s="2">
        <v>0.047290033</v>
      </c>
      <c r="E412" s="2">
        <v>0.031671763</v>
      </c>
      <c r="Q412" s="1" t="s">
        <v>19</v>
      </c>
    </row>
    <row r="413" spans="1:17">
      <c r="A413" s="1">
        <v>411</v>
      </c>
      <c r="B413" s="2">
        <v>0.016270186</v>
      </c>
      <c r="C413" s="2">
        <v>0.00993513900000001</v>
      </c>
      <c r="D413" s="2">
        <v>0.022021967</v>
      </c>
      <c r="E413" s="2">
        <v>0.015146057</v>
      </c>
      <c r="Q413" s="1" t="s">
        <v>19</v>
      </c>
    </row>
    <row r="414" spans="1:17">
      <c r="A414" s="1">
        <v>412</v>
      </c>
      <c r="B414" s="2">
        <v>0.021320837</v>
      </c>
      <c r="C414" s="2">
        <v>0.015390185</v>
      </c>
      <c r="D414" s="2">
        <v>0.016186506</v>
      </c>
      <c r="E414" s="2">
        <v>0.012143454</v>
      </c>
      <c r="Q414" s="1" t="s">
        <v>19</v>
      </c>
    </row>
    <row r="415" spans="1:17">
      <c r="A415" s="1">
        <v>413</v>
      </c>
      <c r="B415" s="2">
        <v>0.021744485</v>
      </c>
      <c r="C415" s="2">
        <v>0.011514691</v>
      </c>
      <c r="D415" s="2">
        <v>0.015143952</v>
      </c>
      <c r="E415" s="2">
        <v>0.00875864200000001</v>
      </c>
      <c r="Q415" s="1" t="s">
        <v>19</v>
      </c>
    </row>
    <row r="416" spans="1:17">
      <c r="A416" s="1">
        <v>414</v>
      </c>
      <c r="B416" s="2">
        <v>0.00826523299999998</v>
      </c>
      <c r="C416" s="2">
        <v>0.00362900299999999</v>
      </c>
      <c r="D416" s="2">
        <v>0.022812412</v>
      </c>
      <c r="E416" s="2">
        <v>0.014544261</v>
      </c>
      <c r="Q416" s="1" t="s">
        <v>19</v>
      </c>
    </row>
    <row r="417" spans="1:17">
      <c r="A417" s="1">
        <v>415</v>
      </c>
      <c r="B417" s="2">
        <v>0.050515095</v>
      </c>
      <c r="C417" s="2">
        <v>0.057335307</v>
      </c>
      <c r="D417" s="2">
        <v>0.100318202</v>
      </c>
      <c r="E417" s="2">
        <v>0.141627055</v>
      </c>
      <c r="Q417" s="1" t="s">
        <v>19</v>
      </c>
    </row>
    <row r="418" spans="1:17">
      <c r="A418" s="1">
        <v>416</v>
      </c>
      <c r="B418" s="2">
        <v>0</v>
      </c>
      <c r="C418" s="2">
        <v>0.04872185</v>
      </c>
      <c r="D418" s="2">
        <v>0</v>
      </c>
      <c r="E418" s="2">
        <v>0.391698268</v>
      </c>
      <c r="Q418" s="1" t="s">
        <v>19</v>
      </c>
    </row>
    <row r="419" spans="1:17">
      <c r="A419" s="1">
        <v>417</v>
      </c>
      <c r="B419" s="2">
        <v>0</v>
      </c>
      <c r="C419" s="2">
        <v>0</v>
      </c>
      <c r="D419" s="2">
        <v>0</v>
      </c>
      <c r="E419" s="2">
        <v>0</v>
      </c>
      <c r="Q419" s="1" t="s">
        <v>19</v>
      </c>
    </row>
    <row r="420" spans="1:17">
      <c r="A420" s="1">
        <v>418</v>
      </c>
      <c r="B420" s="2">
        <v>0</v>
      </c>
      <c r="C420" s="2">
        <v>0.016132697</v>
      </c>
      <c r="D420" s="2">
        <v>0</v>
      </c>
      <c r="E420" s="2">
        <v>0.0174346959999999</v>
      </c>
      <c r="Q420" s="1" t="s">
        <v>19</v>
      </c>
    </row>
    <row r="421" spans="1:17">
      <c r="A421" s="1">
        <v>419</v>
      </c>
      <c r="B421" s="2">
        <v>0.02332334</v>
      </c>
      <c r="C421" s="2">
        <v>0.018887245</v>
      </c>
      <c r="D421" s="2">
        <v>0.029896144</v>
      </c>
      <c r="E421" s="2">
        <v>0.022938199</v>
      </c>
      <c r="Q421" s="1" t="s">
        <v>19</v>
      </c>
    </row>
    <row r="422" spans="1:17">
      <c r="A422" s="1">
        <v>420</v>
      </c>
      <c r="B422" s="2">
        <v>0.041940465</v>
      </c>
      <c r="C422" s="2">
        <v>0.038935885</v>
      </c>
      <c r="D422" s="2">
        <v>0.012328521</v>
      </c>
      <c r="E422" s="2">
        <v>0.0100937400000001</v>
      </c>
      <c r="Q422" s="1" t="s">
        <v>19</v>
      </c>
    </row>
    <row r="423" spans="1:17">
      <c r="A423" s="1">
        <v>421</v>
      </c>
      <c r="B423" s="2">
        <v>0.00420967</v>
      </c>
      <c r="C423" s="2">
        <v>1.68300000000007e-5</v>
      </c>
      <c r="D423" s="2">
        <v>0.841741145</v>
      </c>
      <c r="E423" s="2">
        <v>0.740896068</v>
      </c>
      <c r="Q423" s="1" t="s">
        <v>19</v>
      </c>
    </row>
    <row r="424" spans="1:17">
      <c r="A424" s="1">
        <v>422</v>
      </c>
      <c r="B424" s="2">
        <v>0.030458756</v>
      </c>
      <c r="C424" s="2">
        <v>0.012581417</v>
      </c>
      <c r="D424" s="2">
        <v>0.343195031</v>
      </c>
      <c r="E424" s="2">
        <v>0.274617598</v>
      </c>
      <c r="Q424" s="1" t="s">
        <v>19</v>
      </c>
    </row>
    <row r="425" spans="1:17">
      <c r="A425" s="1">
        <v>423</v>
      </c>
      <c r="B425" s="2">
        <v>0.0470802579999999</v>
      </c>
      <c r="C425" s="2">
        <v>0.040530909</v>
      </c>
      <c r="D425" s="2">
        <v>0.03710359</v>
      </c>
      <c r="E425" s="2">
        <v>0.027046538</v>
      </c>
      <c r="Q425" s="1" t="s">
        <v>19</v>
      </c>
    </row>
    <row r="426" spans="1:17">
      <c r="A426" s="1">
        <v>424</v>
      </c>
      <c r="B426" s="2">
        <v>0.052633735</v>
      </c>
      <c r="C426" s="2">
        <v>0.0476105499999999</v>
      </c>
      <c r="D426" s="2">
        <v>0.025919668</v>
      </c>
      <c r="E426" s="2">
        <v>0.020155147</v>
      </c>
      <c r="Q426" s="1" t="s">
        <v>19</v>
      </c>
    </row>
    <row r="427" spans="1:17">
      <c r="A427" s="1">
        <v>425</v>
      </c>
      <c r="B427" s="2">
        <v>0.0380427520000001</v>
      </c>
      <c r="C427" s="2">
        <v>0.032750277</v>
      </c>
      <c r="D427" s="2">
        <v>0.013867611</v>
      </c>
      <c r="E427" s="2">
        <v>0.0104978</v>
      </c>
      <c r="Q427" s="1" t="s">
        <v>19</v>
      </c>
    </row>
    <row r="428" spans="1:17">
      <c r="A428" s="1">
        <v>426</v>
      </c>
      <c r="B428" s="2">
        <v>0.026140568</v>
      </c>
      <c r="C428" s="2">
        <v>0.022081694</v>
      </c>
      <c r="D428" s="2">
        <v>0.00931162299999999</v>
      </c>
      <c r="E428" s="2">
        <v>0.007621031</v>
      </c>
      <c r="Q428" s="1" t="s">
        <v>19</v>
      </c>
    </row>
    <row r="429" spans="1:17">
      <c r="A429" s="1">
        <v>427</v>
      </c>
      <c r="B429" s="2">
        <v>0.030882885</v>
      </c>
      <c r="C429" s="2">
        <v>0.02605075</v>
      </c>
      <c r="D429" s="2">
        <v>0.011548615</v>
      </c>
      <c r="E429" s="2">
        <v>0.009363177</v>
      </c>
      <c r="Q429" s="1" t="s">
        <v>19</v>
      </c>
    </row>
    <row r="430" spans="1:17">
      <c r="A430" s="1">
        <v>428</v>
      </c>
      <c r="B430" s="2">
        <v>0.005719371</v>
      </c>
      <c r="C430" s="2">
        <v>0.00440016400000001</v>
      </c>
      <c r="D430" s="2">
        <v>0.071824378</v>
      </c>
      <c r="E430" s="2">
        <v>0.060337036</v>
      </c>
      <c r="Q430" s="1" t="s">
        <v>19</v>
      </c>
    </row>
    <row r="431" spans="1:17">
      <c r="A431" s="1">
        <v>429</v>
      </c>
      <c r="B431" s="2">
        <v>0.067565846</v>
      </c>
      <c r="C431" s="2">
        <v>0.065969783</v>
      </c>
      <c r="D431" s="2">
        <v>0.10899414</v>
      </c>
      <c r="E431" s="2">
        <v>0.120459484</v>
      </c>
      <c r="Q431" s="1" t="s">
        <v>19</v>
      </c>
    </row>
    <row r="432" spans="1:17">
      <c r="A432" s="1">
        <v>430</v>
      </c>
      <c r="B432" s="2">
        <v>0.032175151</v>
      </c>
      <c r="C432" s="2">
        <v>0.025599617</v>
      </c>
      <c r="D432" s="2">
        <v>0.0224986930000001</v>
      </c>
      <c r="E432" s="2">
        <v>0.017557222</v>
      </c>
      <c r="Q432" s="1" t="s">
        <v>19</v>
      </c>
    </row>
    <row r="433" spans="1:17">
      <c r="A433" s="1">
        <v>431</v>
      </c>
      <c r="B433" s="2">
        <v>0.034246672</v>
      </c>
      <c r="C433" s="2">
        <v>0.027966787</v>
      </c>
      <c r="D433" s="2">
        <v>0.0235278130000001</v>
      </c>
      <c r="E433" s="2">
        <v>0.018479089</v>
      </c>
      <c r="Q433" s="1" t="s">
        <v>19</v>
      </c>
    </row>
    <row r="434" spans="1:17">
      <c r="A434" s="1">
        <v>432</v>
      </c>
      <c r="B434" s="2">
        <v>0.032340857</v>
      </c>
      <c r="C434" s="2">
        <v>0.025736668</v>
      </c>
      <c r="D434" s="2">
        <v>0.017473692</v>
      </c>
      <c r="E434" s="2">
        <v>0.013090712</v>
      </c>
      <c r="Q434" s="1" t="s">
        <v>19</v>
      </c>
    </row>
    <row r="435" spans="1:17">
      <c r="A435" s="1">
        <v>433</v>
      </c>
      <c r="B435" s="2">
        <v>0.040979732</v>
      </c>
      <c r="C435" s="2">
        <v>0.033441347</v>
      </c>
      <c r="D435" s="2">
        <v>0.048831262</v>
      </c>
      <c r="E435" s="2">
        <v>0.039434168</v>
      </c>
      <c r="Q435" s="1" t="s">
        <v>19</v>
      </c>
    </row>
    <row r="436" spans="1:17">
      <c r="A436" s="1">
        <v>434</v>
      </c>
      <c r="B436" s="2">
        <v>0.042563795</v>
      </c>
      <c r="C436" s="2">
        <v>0.0373827999999999</v>
      </c>
      <c r="D436" s="2">
        <v>0.019965221</v>
      </c>
      <c r="E436" s="2">
        <v>0.0155753329999999</v>
      </c>
      <c r="Q436" s="1" t="s">
        <v>19</v>
      </c>
    </row>
    <row r="437" spans="1:17">
      <c r="A437" s="1">
        <v>435</v>
      </c>
      <c r="B437" s="2">
        <v>0</v>
      </c>
      <c r="C437" s="2">
        <v>0</v>
      </c>
      <c r="D437" s="2">
        <v>0.84954886</v>
      </c>
      <c r="E437" s="2">
        <v>0.610127144</v>
      </c>
      <c r="Q437" s="1" t="s">
        <v>19</v>
      </c>
    </row>
    <row r="438" spans="1:17">
      <c r="A438" s="1">
        <v>436</v>
      </c>
      <c r="B438" s="2">
        <v>0.00429169499999998</v>
      </c>
      <c r="C438" s="2">
        <v>0.00170253299999999</v>
      </c>
      <c r="D438" s="2">
        <v>0.286899721</v>
      </c>
      <c r="E438" s="2">
        <v>0.195400248</v>
      </c>
      <c r="Q438" s="1" t="s">
        <v>19</v>
      </c>
    </row>
    <row r="439" spans="1:17">
      <c r="A439" s="1">
        <v>437</v>
      </c>
      <c r="B439" s="2">
        <v>0.00352376899999998</v>
      </c>
      <c r="C439" s="2">
        <v>0.000834079000000001</v>
      </c>
      <c r="D439" s="2">
        <v>0.065105101</v>
      </c>
      <c r="E439" s="2">
        <v>0.030714943</v>
      </c>
      <c r="Q439" s="1" t="s">
        <v>19</v>
      </c>
    </row>
    <row r="440" spans="1:17">
      <c r="A440" s="1">
        <v>438</v>
      </c>
      <c r="B440" s="2">
        <v>0.00946364499999999</v>
      </c>
      <c r="C440" s="2">
        <v>5.13879999999994e-5</v>
      </c>
      <c r="D440" s="2">
        <v>0.356780887</v>
      </c>
      <c r="E440" s="2">
        <v>0.060791202</v>
      </c>
      <c r="Q440" s="1" t="s">
        <v>19</v>
      </c>
    </row>
    <row r="441" spans="1:17">
      <c r="A441" s="1">
        <v>439</v>
      </c>
      <c r="B441" s="2">
        <v>0.00408640899999999</v>
      </c>
      <c r="C441" s="2">
        <v>0.00145112700000001</v>
      </c>
      <c r="D441" s="2">
        <v>0.057223861</v>
      </c>
      <c r="E441" s="2">
        <v>0.03336062</v>
      </c>
      <c r="Q441" s="1" t="s">
        <v>19</v>
      </c>
    </row>
    <row r="442" spans="1:17">
      <c r="A442" s="1">
        <v>440</v>
      </c>
      <c r="B442" s="2">
        <v>0.00954633499999999</v>
      </c>
      <c r="C442" s="2">
        <v>0.00336466600000002</v>
      </c>
      <c r="D442" s="2">
        <v>0.060581793</v>
      </c>
      <c r="E442" s="2">
        <v>0.034980194</v>
      </c>
      <c r="Q442" s="1" t="s">
        <v>19</v>
      </c>
    </row>
    <row r="443" spans="1:17">
      <c r="A443" s="1">
        <v>441</v>
      </c>
      <c r="B443" s="2">
        <v>0.0366827620000001</v>
      </c>
      <c r="C443" s="2">
        <v>0.03211557</v>
      </c>
      <c r="D443" s="2">
        <v>0.016466697</v>
      </c>
      <c r="E443" s="2">
        <v>0.0131638789999999</v>
      </c>
      <c r="Q443" s="1" t="s">
        <v>19</v>
      </c>
    </row>
    <row r="444" spans="1:17">
      <c r="A444" s="1">
        <v>442</v>
      </c>
      <c r="B444" s="2">
        <v>0.00976316499999999</v>
      </c>
      <c r="C444" s="2">
        <v>0.00478513799999999</v>
      </c>
      <c r="D444" s="2">
        <v>0.070879268</v>
      </c>
      <c r="E444" s="2">
        <v>0.046973664</v>
      </c>
      <c r="Q444" s="1" t="s">
        <v>19</v>
      </c>
    </row>
    <row r="445" spans="1:17">
      <c r="A445" s="1">
        <v>443</v>
      </c>
      <c r="B445" s="2">
        <v>0.033242088</v>
      </c>
      <c r="C445" s="2">
        <v>0.029421392</v>
      </c>
      <c r="D445" s="2">
        <v>0.311664247</v>
      </c>
      <c r="E445" s="2">
        <v>0.305734989</v>
      </c>
      <c r="Q445" s="1" t="s">
        <v>19</v>
      </c>
    </row>
    <row r="446" spans="1:17">
      <c r="A446" s="1">
        <v>444</v>
      </c>
      <c r="B446" s="2">
        <v>0.051680344</v>
      </c>
      <c r="C446" s="2">
        <v>0.056329006</v>
      </c>
      <c r="D446" s="2">
        <v>0.07081706</v>
      </c>
      <c r="E446" s="2">
        <v>0.078388382</v>
      </c>
      <c r="Q446" s="1" t="s">
        <v>19</v>
      </c>
    </row>
    <row r="447" spans="1:17">
      <c r="A447" s="1">
        <v>445</v>
      </c>
      <c r="B447" s="2">
        <v>0</v>
      </c>
      <c r="C447" s="2">
        <v>0</v>
      </c>
      <c r="D447" s="2">
        <v>0</v>
      </c>
      <c r="E447" s="2">
        <v>0</v>
      </c>
      <c r="Q447" s="1" t="s">
        <v>19</v>
      </c>
    </row>
    <row r="448" spans="1:17">
      <c r="A448" s="1">
        <v>446</v>
      </c>
      <c r="B448" s="2">
        <v>0</v>
      </c>
      <c r="C448" s="2">
        <v>0</v>
      </c>
      <c r="D448" s="2">
        <v>0</v>
      </c>
      <c r="E448" s="2">
        <v>0</v>
      </c>
      <c r="Q448" s="1" t="s">
        <v>19</v>
      </c>
    </row>
    <row r="449" spans="1:17">
      <c r="A449" s="1">
        <v>447</v>
      </c>
      <c r="B449" s="2">
        <v>0.04145458</v>
      </c>
      <c r="C449" s="2">
        <v>0.000299604000000002</v>
      </c>
      <c r="D449" s="2">
        <v>0.112950299</v>
      </c>
      <c r="E449" s="2">
        <v>0.009601415</v>
      </c>
      <c r="Q449" s="1" t="s">
        <v>19</v>
      </c>
    </row>
    <row r="450" spans="1:17">
      <c r="A450" s="1">
        <v>448</v>
      </c>
      <c r="B450" s="2">
        <v>0.0347074080000001</v>
      </c>
      <c r="C450" s="2">
        <v>0.028156144</v>
      </c>
      <c r="D450" s="2">
        <v>0.02525838</v>
      </c>
      <c r="E450" s="2">
        <v>0.020191068</v>
      </c>
      <c r="Q450" s="1" t="s">
        <v>19</v>
      </c>
    </row>
    <row r="451" spans="1:17">
      <c r="A451" s="1">
        <v>449</v>
      </c>
      <c r="B451" s="2">
        <v>0.037871659</v>
      </c>
      <c r="C451" s="2">
        <v>0.033712724</v>
      </c>
      <c r="D451" s="2">
        <v>0.059914849</v>
      </c>
      <c r="E451" s="2">
        <v>0.054796415</v>
      </c>
      <c r="Q451" s="1" t="s">
        <v>19</v>
      </c>
    </row>
    <row r="452" spans="1:17">
      <c r="A452" s="1">
        <v>450</v>
      </c>
      <c r="B452" s="2">
        <v>0.035114453</v>
      </c>
      <c r="C452" s="2">
        <v>0.03083589</v>
      </c>
      <c r="D452" s="2">
        <v>0.020711901</v>
      </c>
      <c r="E452" s="2">
        <v>0.017480482</v>
      </c>
      <c r="Q452" s="1" t="s">
        <v>19</v>
      </c>
    </row>
    <row r="453" spans="1:17">
      <c r="A453" s="1">
        <v>451</v>
      </c>
      <c r="B453" s="2">
        <v>0.0417157849999999</v>
      </c>
      <c r="C453" s="2">
        <v>0.036843339</v>
      </c>
      <c r="D453" s="2">
        <v>0.034528228</v>
      </c>
      <c r="E453" s="2">
        <v>0.029182128</v>
      </c>
      <c r="Q453" s="1" t="s">
        <v>19</v>
      </c>
    </row>
    <row r="454" spans="1:17">
      <c r="A454" s="1">
        <v>452</v>
      </c>
      <c r="B454" s="2">
        <v>0.0363158530000001</v>
      </c>
      <c r="C454" s="2">
        <v>0.029383691</v>
      </c>
      <c r="D454" s="2">
        <v>0.033860549</v>
      </c>
      <c r="E454" s="2">
        <v>0.027359545</v>
      </c>
      <c r="Q454" s="1" t="s">
        <v>19</v>
      </c>
    </row>
    <row r="455" spans="1:17">
      <c r="A455" s="1">
        <v>453</v>
      </c>
      <c r="B455" s="2">
        <v>0.0393212199999999</v>
      </c>
      <c r="C455" s="2">
        <v>0.034461223</v>
      </c>
      <c r="D455" s="2">
        <v>0.0135412869999999</v>
      </c>
      <c r="E455" s="2">
        <v>0.010856813</v>
      </c>
      <c r="Q455" s="1" t="s">
        <v>19</v>
      </c>
    </row>
    <row r="456" spans="1:17">
      <c r="A456" s="1">
        <v>454</v>
      </c>
      <c r="B456" s="2">
        <v>0.025447641</v>
      </c>
      <c r="C456" s="2">
        <v>0.022108574</v>
      </c>
      <c r="D456" s="2">
        <v>0.034434175</v>
      </c>
      <c r="E456" s="2">
        <v>0.029655829</v>
      </c>
      <c r="Q456" s="1" t="s">
        <v>19</v>
      </c>
    </row>
    <row r="457" spans="1:17">
      <c r="A457" s="1">
        <v>455</v>
      </c>
      <c r="B457" s="2">
        <v>0.0567529649999999</v>
      </c>
      <c r="C457" s="2">
        <v>0.0499781730000001</v>
      </c>
      <c r="D457" s="2">
        <v>0.111271879</v>
      </c>
      <c r="E457" s="2">
        <v>0.103035514</v>
      </c>
      <c r="Q457" s="1" t="s">
        <v>19</v>
      </c>
    </row>
    <row r="458" spans="1:17">
      <c r="A458" s="1">
        <v>456</v>
      </c>
      <c r="B458" s="2">
        <v>0.033192326</v>
      </c>
      <c r="C458" s="2">
        <v>0.028694137</v>
      </c>
      <c r="D458" s="2">
        <v>0.035058864</v>
      </c>
      <c r="E458" s="2">
        <v>0.030334643</v>
      </c>
      <c r="Q458" s="1" t="s">
        <v>19</v>
      </c>
    </row>
    <row r="459" spans="1:17">
      <c r="A459" s="1">
        <v>457</v>
      </c>
      <c r="B459" s="2">
        <v>0.0383246819999999</v>
      </c>
      <c r="C459" s="2">
        <v>0.033215556</v>
      </c>
      <c r="D459" s="2">
        <v>0.011462399</v>
      </c>
      <c r="E459" s="2">
        <v>0.00913974099999998</v>
      </c>
      <c r="Q459" s="1" t="s">
        <v>19</v>
      </c>
    </row>
    <row r="460" spans="1:17">
      <c r="A460" s="1">
        <v>458</v>
      </c>
      <c r="B460" s="2">
        <v>0.0509840210000001</v>
      </c>
      <c r="C460" s="2">
        <v>0.046514706</v>
      </c>
      <c r="D460" s="2">
        <v>0.140364423</v>
      </c>
      <c r="E460" s="2">
        <v>0.135264788</v>
      </c>
      <c r="Q460" s="1" t="s">
        <v>19</v>
      </c>
    </row>
    <row r="461" spans="1:17">
      <c r="A461" s="1">
        <v>459</v>
      </c>
      <c r="B461" s="2">
        <v>0.028998886</v>
      </c>
      <c r="C461" s="2">
        <v>0.025086549</v>
      </c>
      <c r="D461" s="2">
        <v>0.021991125</v>
      </c>
      <c r="E461" s="2">
        <v>0.018680684</v>
      </c>
      <c r="Q461" s="1" t="s">
        <v>19</v>
      </c>
    </row>
    <row r="462" spans="1:17">
      <c r="A462" s="1">
        <v>460</v>
      </c>
      <c r="B462" s="2">
        <v>0.038743215</v>
      </c>
      <c r="C462" s="2">
        <v>0.0340237919999999</v>
      </c>
      <c r="D462" s="2">
        <v>0.0259417669999999</v>
      </c>
      <c r="E462" s="2">
        <v>0.021828374</v>
      </c>
      <c r="Q462" s="1" t="s">
        <v>19</v>
      </c>
    </row>
    <row r="463" spans="1:17">
      <c r="A463" s="1">
        <v>461</v>
      </c>
      <c r="B463" s="2">
        <v>0.02057024</v>
      </c>
      <c r="C463" s="2">
        <v>0.014377534</v>
      </c>
      <c r="D463" s="2">
        <v>0.074844459</v>
      </c>
      <c r="E463" s="2">
        <v>0.059849758</v>
      </c>
      <c r="Q463" s="1" t="s">
        <v>19</v>
      </c>
    </row>
    <row r="464" spans="1:17">
      <c r="A464" s="1">
        <v>462</v>
      </c>
      <c r="B464" s="2">
        <v>0</v>
      </c>
      <c r="C464" s="2">
        <v>0</v>
      </c>
      <c r="D464" s="2">
        <v>0</v>
      </c>
      <c r="E464" s="2">
        <v>0</v>
      </c>
      <c r="Q464" s="1" t="s">
        <v>19</v>
      </c>
    </row>
    <row r="465" spans="1:17">
      <c r="A465" s="1">
        <v>463</v>
      </c>
      <c r="B465" s="2">
        <v>0.027728431</v>
      </c>
      <c r="C465" s="2">
        <v>0.023504497</v>
      </c>
      <c r="D465" s="2">
        <v>0.130912187</v>
      </c>
      <c r="E465" s="2">
        <v>0.117627442</v>
      </c>
      <c r="Q465" s="1" t="s">
        <v>19</v>
      </c>
    </row>
    <row r="466" spans="1:17">
      <c r="A466" s="1">
        <v>464</v>
      </c>
      <c r="B466" s="2">
        <v>0</v>
      </c>
      <c r="C466" s="2">
        <v>0</v>
      </c>
      <c r="D466" s="2">
        <v>0</v>
      </c>
      <c r="E466" s="2">
        <v>0.151424154</v>
      </c>
      <c r="Q466" s="1" t="s">
        <v>19</v>
      </c>
    </row>
    <row r="467" spans="1:17">
      <c r="A467" s="1">
        <v>465</v>
      </c>
      <c r="B467" s="2">
        <v>0.000244184000000036</v>
      </c>
      <c r="C467" s="2">
        <v>0.000511715000000024</v>
      </c>
      <c r="D467" s="2">
        <v>0.000230824000000074</v>
      </c>
      <c r="E467" s="2">
        <v>0.000471526999999972</v>
      </c>
      <c r="Q467" s="1" t="s">
        <v>19</v>
      </c>
    </row>
    <row r="468" spans="1:17">
      <c r="A468" s="1">
        <v>466</v>
      </c>
      <c r="B468" s="2">
        <v>0.019704135</v>
      </c>
      <c r="C468" s="2">
        <v>0.01340403</v>
      </c>
      <c r="D468" s="2">
        <v>0.23267688</v>
      </c>
      <c r="E468" s="2">
        <v>0.197412173</v>
      </c>
      <c r="Q468" s="1" t="s">
        <v>19</v>
      </c>
    </row>
    <row r="469" spans="1:17">
      <c r="A469" s="1">
        <v>467</v>
      </c>
      <c r="B469" s="2">
        <v>0.03273416</v>
      </c>
      <c r="C469" s="2">
        <v>0.028450778</v>
      </c>
      <c r="D469" s="2">
        <v>0.0316458119999999</v>
      </c>
      <c r="E469" s="2">
        <v>0.026955615</v>
      </c>
      <c r="Q469" s="1" t="s">
        <v>19</v>
      </c>
    </row>
    <row r="470" spans="1:17">
      <c r="A470" s="1">
        <v>468</v>
      </c>
      <c r="B470" s="2">
        <v>0.00219965999999999</v>
      </c>
      <c r="C470" s="2">
        <v>0.00143555999999999</v>
      </c>
      <c r="D470" s="2">
        <v>0.072313679</v>
      </c>
      <c r="E470" s="2">
        <v>0.057498299</v>
      </c>
      <c r="Q470" s="1" t="s">
        <v>19</v>
      </c>
    </row>
    <row r="471" spans="1:17">
      <c r="A471" s="1">
        <v>469</v>
      </c>
      <c r="B471" s="2">
        <v>0.00774270399999999</v>
      </c>
      <c r="C471" s="2">
        <v>0.00295899300000002</v>
      </c>
      <c r="D471" s="2">
        <v>0.019916224</v>
      </c>
      <c r="E471" s="2">
        <v>0.011763742</v>
      </c>
      <c r="Q471" s="1" t="s">
        <v>19</v>
      </c>
    </row>
    <row r="472" spans="1:17">
      <c r="A472" s="1">
        <v>470</v>
      </c>
      <c r="B472" s="2">
        <v>0.010213247</v>
      </c>
      <c r="C472" s="2">
        <v>0.00459996799999998</v>
      </c>
      <c r="D472" s="2">
        <v>0.030231277</v>
      </c>
      <c r="E472" s="2">
        <v>0.018633159</v>
      </c>
      <c r="Q472" s="1" t="s">
        <v>19</v>
      </c>
    </row>
    <row r="473" spans="1:17">
      <c r="A473" s="1">
        <v>471</v>
      </c>
      <c r="B473" s="2">
        <v>0.00981990999999999</v>
      </c>
      <c r="C473" s="2">
        <v>0.00565443300000001</v>
      </c>
      <c r="D473" s="2">
        <v>0.013452282</v>
      </c>
      <c r="E473" s="2">
        <v>0.009242216</v>
      </c>
      <c r="Q473" s="1" t="s">
        <v>19</v>
      </c>
    </row>
    <row r="474" spans="1:17">
      <c r="A474" s="1">
        <v>472</v>
      </c>
      <c r="B474" s="2">
        <v>0</v>
      </c>
      <c r="C474" s="2">
        <v>0</v>
      </c>
      <c r="D474" s="2">
        <v>0</v>
      </c>
      <c r="E474" s="2">
        <v>0</v>
      </c>
      <c r="Q474" s="1" t="s">
        <v>19</v>
      </c>
    </row>
    <row r="475" spans="1:17">
      <c r="A475" s="1">
        <v>473</v>
      </c>
      <c r="B475" s="2">
        <v>0.027092945</v>
      </c>
      <c r="C475" s="2">
        <v>0.01898613</v>
      </c>
      <c r="D475" s="2">
        <v>0.01905548</v>
      </c>
      <c r="E475" s="2">
        <v>0.01306782</v>
      </c>
      <c r="Q475" s="1" t="s">
        <v>19</v>
      </c>
    </row>
    <row r="476" spans="1:17">
      <c r="A476" s="1">
        <v>474</v>
      </c>
      <c r="B476" s="2">
        <v>0.037588903</v>
      </c>
      <c r="C476" s="2">
        <v>0.0305897669999999</v>
      </c>
      <c r="D476" s="2">
        <v>0.021089362</v>
      </c>
      <c r="E476" s="2">
        <v>0.0157618319999999</v>
      </c>
      <c r="Q476" s="1" t="s">
        <v>19</v>
      </c>
    </row>
    <row r="477" spans="1:17">
      <c r="A477" s="1">
        <v>475</v>
      </c>
      <c r="B477" s="2">
        <v>0.00739197599999999</v>
      </c>
      <c r="C477" s="2">
        <v>0.00355111699999999</v>
      </c>
      <c r="D477" s="2">
        <v>0.03215806</v>
      </c>
      <c r="E477" s="2">
        <v>0.021110036</v>
      </c>
      <c r="Q477" s="1" t="s">
        <v>19</v>
      </c>
    </row>
    <row r="478" spans="1:17">
      <c r="A478" s="1">
        <v>476</v>
      </c>
      <c r="B478" s="2">
        <v>0.035355073</v>
      </c>
      <c r="C478" s="2">
        <v>0.016886205</v>
      </c>
      <c r="D478" s="2">
        <v>0.154882906</v>
      </c>
      <c r="E478" s="2">
        <v>0.114575267</v>
      </c>
      <c r="Q478" s="1" t="s">
        <v>19</v>
      </c>
    </row>
    <row r="479" spans="1:17">
      <c r="A479" s="1">
        <v>477</v>
      </c>
      <c r="B479" s="2">
        <v>0.00405989499999998</v>
      </c>
      <c r="C479" s="2">
        <v>0.00129478399999999</v>
      </c>
      <c r="D479" s="2">
        <v>0.027534917</v>
      </c>
      <c r="E479" s="2">
        <v>0.015713986</v>
      </c>
      <c r="Q479" s="1" t="s">
        <v>19</v>
      </c>
    </row>
    <row r="480" spans="1:17">
      <c r="A480" s="1">
        <v>478</v>
      </c>
      <c r="B480" s="2">
        <v>0.024996373</v>
      </c>
      <c r="C480" s="2">
        <v>0.021473351</v>
      </c>
      <c r="D480" s="2">
        <v>0.068434113</v>
      </c>
      <c r="E480" s="2">
        <v>0.059727578</v>
      </c>
      <c r="Q480" s="1" t="s">
        <v>19</v>
      </c>
    </row>
    <row r="481" spans="1:17">
      <c r="A481" s="1">
        <v>479</v>
      </c>
      <c r="B481" s="2">
        <v>0.029326759</v>
      </c>
      <c r="C481" s="2">
        <v>0.025112599</v>
      </c>
      <c r="D481" s="2">
        <v>0.01294824</v>
      </c>
      <c r="E481" s="2">
        <v>0.010875183</v>
      </c>
      <c r="Q481" s="1" t="s">
        <v>19</v>
      </c>
    </row>
    <row r="482" spans="1:17">
      <c r="A482" s="1">
        <v>480</v>
      </c>
      <c r="B482" s="2">
        <v>0</v>
      </c>
      <c r="C482" s="2">
        <v>0</v>
      </c>
      <c r="D482" s="2">
        <v>0</v>
      </c>
      <c r="E482" s="2">
        <v>0</v>
      </c>
      <c r="Q482" s="1" t="s">
        <v>19</v>
      </c>
    </row>
    <row r="483" spans="1:17">
      <c r="A483" s="1">
        <v>481</v>
      </c>
      <c r="B483" s="2">
        <v>0.00374217900000001</v>
      </c>
      <c r="C483" s="2">
        <v>0.00126613499999999</v>
      </c>
      <c r="D483" s="2">
        <v>0.00980376400000002</v>
      </c>
      <c r="E483" s="2">
        <v>0.00573272399999999</v>
      </c>
      <c r="Q483" s="1" t="s">
        <v>19</v>
      </c>
    </row>
    <row r="484" spans="1:17">
      <c r="A484" s="1">
        <v>482</v>
      </c>
      <c r="B484" s="2">
        <v>0</v>
      </c>
      <c r="C484" s="2">
        <v>0</v>
      </c>
      <c r="D484" s="2">
        <v>0</v>
      </c>
      <c r="E484" s="2">
        <v>0</v>
      </c>
      <c r="Q484" s="1" t="s">
        <v>19</v>
      </c>
    </row>
    <row r="485" spans="1:17">
      <c r="A485" s="1">
        <v>483</v>
      </c>
      <c r="B485" s="2">
        <v>0.02752468</v>
      </c>
      <c r="C485" s="2">
        <v>0.021830471</v>
      </c>
      <c r="D485" s="2">
        <v>0.034299001</v>
      </c>
      <c r="E485" s="2">
        <v>0.027819096</v>
      </c>
      <c r="Q485" s="1" t="s">
        <v>19</v>
      </c>
    </row>
    <row r="486" spans="1:17">
      <c r="A486" s="1">
        <v>484</v>
      </c>
      <c r="B486" s="2">
        <v>0.0348626949999999</v>
      </c>
      <c r="C486" s="2">
        <v>0.0299125789999999</v>
      </c>
      <c r="D486" s="2">
        <v>0.00972088400000004</v>
      </c>
      <c r="E486" s="2">
        <v>0.00752291999999993</v>
      </c>
      <c r="Q486" s="1" t="s">
        <v>19</v>
      </c>
    </row>
    <row r="487" spans="1:17">
      <c r="A487" s="1">
        <v>485</v>
      </c>
      <c r="B487" s="2">
        <v>0.0442092549999999</v>
      </c>
      <c r="C487" s="2">
        <v>0.039012951</v>
      </c>
      <c r="D487" s="2">
        <v>0.026344343</v>
      </c>
      <c r="E487" s="2">
        <v>0.020732537</v>
      </c>
      <c r="Q487" s="1" t="s">
        <v>19</v>
      </c>
    </row>
    <row r="488" spans="1:17">
      <c r="A488" s="1">
        <v>486</v>
      </c>
      <c r="B488" s="2">
        <v>0.0562530569999999</v>
      </c>
      <c r="C488" s="2">
        <v>0.047954186</v>
      </c>
      <c r="D488" s="2">
        <v>0.0969276109999999</v>
      </c>
      <c r="E488" s="2">
        <v>0.088255396</v>
      </c>
      <c r="Q488" s="1" t="s">
        <v>19</v>
      </c>
    </row>
    <row r="489" spans="1:17">
      <c r="A489" s="1">
        <v>487</v>
      </c>
      <c r="B489" s="2">
        <v>0.0469881409999999</v>
      </c>
      <c r="C489" s="2">
        <v>0.040382114</v>
      </c>
      <c r="D489" s="2">
        <v>0.035426078</v>
      </c>
      <c r="E489" s="2">
        <v>0.024693023</v>
      </c>
      <c r="Q489" s="1" t="s">
        <v>19</v>
      </c>
    </row>
    <row r="490" spans="1:17">
      <c r="A490" s="1">
        <v>488</v>
      </c>
      <c r="B490" s="2">
        <v>0.052052997</v>
      </c>
      <c r="C490" s="2">
        <v>0.045995842</v>
      </c>
      <c r="D490" s="2">
        <v>0.0324852290000001</v>
      </c>
      <c r="E490" s="2">
        <v>0.023327832</v>
      </c>
      <c r="Q490" s="1" t="s">
        <v>19</v>
      </c>
    </row>
    <row r="491" spans="1:17">
      <c r="A491" s="1">
        <v>489</v>
      </c>
      <c r="B491" s="2">
        <v>0.0509777069999999</v>
      </c>
      <c r="C491" s="2">
        <v>0.0454098829999999</v>
      </c>
      <c r="D491" s="2">
        <v>0.014753939</v>
      </c>
      <c r="E491" s="2">
        <v>0.010587158</v>
      </c>
      <c r="Q491" s="1" t="s">
        <v>19</v>
      </c>
    </row>
    <row r="492" spans="1:17">
      <c r="A492" s="1">
        <v>490</v>
      </c>
      <c r="B492" s="2">
        <v>0.0370285410000001</v>
      </c>
      <c r="C492" s="2">
        <v>0.0332062190000001</v>
      </c>
      <c r="D492" s="2">
        <v>0.0180722760000001</v>
      </c>
      <c r="E492" s="2">
        <v>0.014895583</v>
      </c>
      <c r="Q492" s="1" t="s">
        <v>19</v>
      </c>
    </row>
  </sheetData>
  <sortState ref="Q1:Q492">
    <sortCondition ref="Q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92"/>
  <sheetViews>
    <sheetView tabSelected="1" workbookViewId="0">
      <selection activeCell="W29" sqref="W29"/>
    </sheetView>
  </sheetViews>
  <sheetFormatPr defaultColWidth="9" defaultRowHeight="13.5"/>
  <cols>
    <col min="1" max="1" width="9" style="1"/>
    <col min="2" max="5" width="12.625" style="1"/>
    <col min="17" max="17" width="9" style="1"/>
    <col min="20" max="23" width="13.75"/>
  </cols>
  <sheetData>
    <row r="1" spans="1:23">
      <c r="A1" s="1" t="s">
        <v>8</v>
      </c>
      <c r="B1" s="1" t="s">
        <v>2</v>
      </c>
      <c r="C1" s="1" t="s">
        <v>5</v>
      </c>
      <c r="D1" s="1" t="s">
        <v>3</v>
      </c>
      <c r="E1" s="1" t="s">
        <v>6</v>
      </c>
      <c r="Q1" s="1" t="s">
        <v>9</v>
      </c>
      <c r="S1" t="s">
        <v>10</v>
      </c>
      <c r="T1" s="1" t="s">
        <v>2</v>
      </c>
      <c r="U1" s="1" t="s">
        <v>5</v>
      </c>
      <c r="V1" s="1" t="s">
        <v>3</v>
      </c>
      <c r="W1" s="1" t="s">
        <v>6</v>
      </c>
    </row>
    <row r="2" spans="1:23">
      <c r="A2" s="1">
        <v>0</v>
      </c>
      <c r="B2" s="2">
        <v>0</v>
      </c>
      <c r="C2" s="2">
        <v>0</v>
      </c>
      <c r="D2" s="2">
        <v>0</v>
      </c>
      <c r="E2" s="2">
        <v>0</v>
      </c>
      <c r="I2" s="1">
        <f>STDEVP(B2:B492)</f>
        <v>0.0105228399817429</v>
      </c>
      <c r="J2" s="1">
        <f>STDEVP(C2:C492)</f>
        <v>0.0103946238375484</v>
      </c>
      <c r="K2" s="1">
        <f>STDEVP(D2:D492)</f>
        <v>0.0844610141761995</v>
      </c>
      <c r="L2" s="1">
        <f>STDEVP(E2:E492)</f>
        <v>0.182919099347338</v>
      </c>
      <c r="Q2" s="1" t="s">
        <v>10</v>
      </c>
      <c r="S2" t="s">
        <v>11</v>
      </c>
      <c r="T2">
        <f>MAX(B2:B325)</f>
        <v>0.029456497</v>
      </c>
      <c r="U2">
        <f>MAX(C2:C325)</f>
        <v>0.028934834</v>
      </c>
      <c r="V2">
        <f>MAX(D2:D325)</f>
        <v>0.730275273</v>
      </c>
      <c r="W2">
        <f>MAX(E2:E325)</f>
        <v>0.904310237</v>
      </c>
    </row>
    <row r="3" spans="1:23">
      <c r="A3" s="1">
        <v>1</v>
      </c>
      <c r="B3" s="2">
        <v>0.02702761</v>
      </c>
      <c r="C3" s="2">
        <v>0.01856534</v>
      </c>
      <c r="D3" s="2">
        <v>0.087565666</v>
      </c>
      <c r="E3" s="2">
        <v>0.109888547</v>
      </c>
      <c r="I3" s="1">
        <f>AVERAGE(B2:B492)</f>
        <v>0.0174311214378819</v>
      </c>
      <c r="J3" s="1">
        <f>AVERAGE(C2:C492)</f>
        <v>0.0168824981221996</v>
      </c>
      <c r="K3" s="1">
        <f>AVERAGE(D2:D492)</f>
        <v>0.0456405620855397</v>
      </c>
      <c r="L3" s="1">
        <f>AVERAGE(E2:E492)</f>
        <v>0.0785086880635438</v>
      </c>
      <c r="Q3" s="1" t="s">
        <v>10</v>
      </c>
      <c r="S3" t="s">
        <v>12</v>
      </c>
      <c r="T3">
        <f>MIN(B2:B325)</f>
        <v>-4.77999999998202e-7</v>
      </c>
      <c r="U3">
        <f>MIN(C2:C325)</f>
        <v>-4.83000000002509e-7</v>
      </c>
      <c r="V3">
        <f>MIN(D2:D325)</f>
        <v>-9.99999999473644e-10</v>
      </c>
      <c r="W3">
        <f>MIN(E2:E325)</f>
        <v>-3.97999999999992e-8</v>
      </c>
    </row>
    <row r="4" spans="1:23">
      <c r="A4" s="1">
        <v>2</v>
      </c>
      <c r="B4" s="2">
        <v>0</v>
      </c>
      <c r="C4" s="2">
        <v>0</v>
      </c>
      <c r="D4" s="2">
        <v>0</v>
      </c>
      <c r="E4" s="2">
        <v>0</v>
      </c>
      <c r="Q4" s="1" t="s">
        <v>10</v>
      </c>
      <c r="S4" t="s">
        <v>13</v>
      </c>
      <c r="T4">
        <f>AVERAGE(B2:B325)</f>
        <v>0.0179446425092593</v>
      </c>
      <c r="U4">
        <f>AVERAGE(C2:C325)</f>
        <v>0.0178524197037037</v>
      </c>
      <c r="V4">
        <f>AVERAGE(D2:D325)</f>
        <v>0.0344119974938272</v>
      </c>
      <c r="W4">
        <f>AVERAGE(E2:E325)</f>
        <v>0.0468225541858025</v>
      </c>
    </row>
    <row r="5" spans="1:23">
      <c r="A5" s="1">
        <v>3</v>
      </c>
      <c r="B5" s="2">
        <v>0.020952731</v>
      </c>
      <c r="C5" s="2">
        <v>0.020534135</v>
      </c>
      <c r="D5" s="2">
        <v>0.038387645</v>
      </c>
      <c r="E5" s="2">
        <v>0.036130141</v>
      </c>
      <c r="Q5" s="1" t="s">
        <v>10</v>
      </c>
      <c r="S5" t="s">
        <v>14</v>
      </c>
      <c r="T5">
        <f>MEDIAN(B2:B325)</f>
        <v>0.023310786</v>
      </c>
      <c r="U5">
        <f>MEDIAN(C2:C325)</f>
        <v>0.023200461</v>
      </c>
      <c r="V5">
        <f>MEDIAN(D2:D325)</f>
        <v>0.0135938975</v>
      </c>
      <c r="W5">
        <f>MEDIAN(E2:E325)</f>
        <v>0.01285544</v>
      </c>
    </row>
    <row r="6" spans="1:23">
      <c r="A6" s="1">
        <v>4</v>
      </c>
      <c r="B6" s="2">
        <v>0.023794325</v>
      </c>
      <c r="C6" s="2">
        <v>0.023817048</v>
      </c>
      <c r="D6" s="2">
        <v>0.020555278</v>
      </c>
      <c r="E6" s="2">
        <v>0.018570695</v>
      </c>
      <c r="Q6" s="1" t="s">
        <v>10</v>
      </c>
      <c r="S6" t="s">
        <v>15</v>
      </c>
      <c r="T6">
        <f>COUNTIF(B2:B325,"&gt;0")</f>
        <v>261</v>
      </c>
      <c r="U6">
        <f>COUNTIF(C2:C325,"&gt;0")</f>
        <v>264</v>
      </c>
      <c r="V6">
        <f>COUNTIF(D2:D325,"&gt;0")</f>
        <v>259</v>
      </c>
      <c r="W6">
        <f>COUNTIF(E2:E325,"&gt;0")</f>
        <v>271</v>
      </c>
    </row>
    <row r="7" spans="1:23">
      <c r="A7" s="1">
        <v>5</v>
      </c>
      <c r="B7" s="2">
        <v>0.022104445</v>
      </c>
      <c r="C7" s="2">
        <v>0.022036316</v>
      </c>
      <c r="D7" s="2">
        <v>0.00992187</v>
      </c>
      <c r="E7" s="2">
        <v>0.00880268000000001</v>
      </c>
      <c r="Q7" s="1" t="s">
        <v>10</v>
      </c>
      <c r="S7" t="s">
        <v>16</v>
      </c>
      <c r="T7">
        <f t="shared" ref="T7:W7" si="0">T6/324</f>
        <v>0.805555555555556</v>
      </c>
      <c r="U7">
        <f t="shared" si="0"/>
        <v>0.814814814814815</v>
      </c>
      <c r="V7">
        <f t="shared" si="0"/>
        <v>0.799382716049383</v>
      </c>
      <c r="W7">
        <f t="shared" si="0"/>
        <v>0.83641975308642</v>
      </c>
    </row>
    <row r="8" spans="1:23">
      <c r="A8" s="1">
        <v>6</v>
      </c>
      <c r="B8" s="2">
        <v>0.023842949</v>
      </c>
      <c r="C8" s="2">
        <v>0.023800077</v>
      </c>
      <c r="D8" s="2">
        <v>0.02876793</v>
      </c>
      <c r="E8" s="2">
        <v>0.02890478</v>
      </c>
      <c r="Q8" s="1" t="s">
        <v>10</v>
      </c>
      <c r="S8" t="s">
        <v>17</v>
      </c>
      <c r="T8">
        <f>COUNTIF(B2:B325,"&lt;0")</f>
        <v>1</v>
      </c>
      <c r="U8">
        <f>COUNTIF(C2:C325,"&lt;0")</f>
        <v>3</v>
      </c>
      <c r="V8">
        <f>COUNTIF(D2:D325,"&lt;0")</f>
        <v>1</v>
      </c>
      <c r="W8">
        <f>COUNTIF(E2:E325,"&lt;0")</f>
        <v>1</v>
      </c>
    </row>
    <row r="9" spans="1:23">
      <c r="A9" s="1">
        <v>7</v>
      </c>
      <c r="B9" s="2">
        <v>0.013712881</v>
      </c>
      <c r="C9" s="2">
        <v>0.018600168</v>
      </c>
      <c r="D9" s="2">
        <v>0.011702751</v>
      </c>
      <c r="E9" s="2">
        <v>0.016199412</v>
      </c>
      <c r="Q9" s="1" t="s">
        <v>10</v>
      </c>
      <c r="S9" t="s">
        <v>18</v>
      </c>
      <c r="T9">
        <f t="shared" ref="T9:W9" si="1">T8/324</f>
        <v>0.00308641975308642</v>
      </c>
      <c r="U9">
        <f t="shared" si="1"/>
        <v>0.00925925925925926</v>
      </c>
      <c r="V9">
        <f t="shared" si="1"/>
        <v>0.00308641975308642</v>
      </c>
      <c r="W9">
        <f t="shared" si="1"/>
        <v>0.00308641975308642</v>
      </c>
    </row>
    <row r="10" spans="1:17">
      <c r="A10" s="1">
        <v>8</v>
      </c>
      <c r="B10" s="2">
        <v>0.024771905</v>
      </c>
      <c r="C10" s="2">
        <v>0.02467021</v>
      </c>
      <c r="D10" s="2">
        <v>0.00711099099999996</v>
      </c>
      <c r="E10" s="2">
        <v>0.00609953099999999</v>
      </c>
      <c r="Q10" s="1" t="s">
        <v>10</v>
      </c>
    </row>
    <row r="11" spans="1:17">
      <c r="A11" s="1">
        <v>9</v>
      </c>
      <c r="B11" s="2">
        <v>0.000194366</v>
      </c>
      <c r="C11" s="2">
        <v>2.74519999999999e-5</v>
      </c>
      <c r="D11" s="2">
        <v>0.001848891</v>
      </c>
      <c r="E11" s="2">
        <v>0.115182063</v>
      </c>
      <c r="Q11" s="1" t="s">
        <v>10</v>
      </c>
    </row>
    <row r="12" spans="1:17">
      <c r="A12" s="1">
        <v>10</v>
      </c>
      <c r="B12" s="2">
        <v>0.027402734</v>
      </c>
      <c r="C12" s="2">
        <v>0.027236168</v>
      </c>
      <c r="D12" s="2">
        <v>0.062902647</v>
      </c>
      <c r="E12" s="2">
        <v>0.062452959</v>
      </c>
      <c r="Q12" s="1" t="s">
        <v>10</v>
      </c>
    </row>
    <row r="13" spans="1:17">
      <c r="A13" s="1">
        <v>11</v>
      </c>
      <c r="B13" s="2">
        <v>0</v>
      </c>
      <c r="C13" s="2">
        <v>0</v>
      </c>
      <c r="D13" s="2">
        <v>0</v>
      </c>
      <c r="E13" s="2">
        <v>0</v>
      </c>
      <c r="Q13" s="1" t="s">
        <v>10</v>
      </c>
    </row>
    <row r="14" spans="1:17">
      <c r="A14" s="1">
        <v>12</v>
      </c>
      <c r="B14" s="2">
        <v>0</v>
      </c>
      <c r="C14" s="2">
        <v>0</v>
      </c>
      <c r="D14" s="2">
        <v>0</v>
      </c>
      <c r="E14" s="2">
        <v>0</v>
      </c>
      <c r="Q14" s="1" t="s">
        <v>10</v>
      </c>
    </row>
    <row r="15" spans="1:23">
      <c r="A15" s="1">
        <v>13</v>
      </c>
      <c r="B15" s="2">
        <v>0</v>
      </c>
      <c r="C15" s="2">
        <v>0</v>
      </c>
      <c r="D15" s="2">
        <v>0</v>
      </c>
      <c r="E15" s="2">
        <v>0.714188962</v>
      </c>
      <c r="Q15" s="1" t="s">
        <v>10</v>
      </c>
      <c r="S15" t="s">
        <v>19</v>
      </c>
      <c r="T15" s="1" t="s">
        <v>2</v>
      </c>
      <c r="U15" s="1" t="s">
        <v>5</v>
      </c>
      <c r="V15" s="1" t="s">
        <v>3</v>
      </c>
      <c r="W15" s="1" t="s">
        <v>6</v>
      </c>
    </row>
    <row r="16" spans="1:23">
      <c r="A16" s="1">
        <v>14</v>
      </c>
      <c r="B16" s="2">
        <v>0</v>
      </c>
      <c r="C16" s="2">
        <v>0</v>
      </c>
      <c r="D16" s="2">
        <v>0</v>
      </c>
      <c r="E16" s="2">
        <v>0</v>
      </c>
      <c r="Q16" s="1" t="s">
        <v>10</v>
      </c>
      <c r="S16" t="s">
        <v>11</v>
      </c>
      <c r="T16">
        <f>MAX(B326:B492)</f>
        <v>0.029640273</v>
      </c>
      <c r="U16">
        <f>MAX(C326:C492)</f>
        <v>0.0288078510000001</v>
      </c>
      <c r="V16">
        <f>MAX(D326:D492)</f>
        <v>0.594963601</v>
      </c>
      <c r="W16">
        <f>MAX(E326:E492)</f>
        <v>1.536854697</v>
      </c>
    </row>
    <row r="17" spans="1:23">
      <c r="A17" s="1">
        <v>15</v>
      </c>
      <c r="B17" s="2">
        <v>0</v>
      </c>
      <c r="C17" s="2">
        <v>0</v>
      </c>
      <c r="D17" s="2">
        <v>0</v>
      </c>
      <c r="E17" s="2">
        <v>0</v>
      </c>
      <c r="Q17" s="1" t="s">
        <v>10</v>
      </c>
      <c r="S17" t="s">
        <v>12</v>
      </c>
      <c r="T17">
        <f>MIN(B326:B492)</f>
        <v>0</v>
      </c>
      <c r="U17">
        <f>MIN(C326:C492)</f>
        <v>-1.17999999998605e-7</v>
      </c>
      <c r="V17">
        <f>MIN(D326:D492)</f>
        <v>0</v>
      </c>
      <c r="W17">
        <f>MIN(E326:E492)</f>
        <v>0</v>
      </c>
    </row>
    <row r="18" spans="1:23">
      <c r="A18" s="1">
        <v>16</v>
      </c>
      <c r="B18" s="2">
        <v>0.023901819</v>
      </c>
      <c r="C18" s="2">
        <v>0.024014064</v>
      </c>
      <c r="D18" s="2">
        <v>0.016910686</v>
      </c>
      <c r="E18" s="2">
        <v>0.014910689</v>
      </c>
      <c r="Q18" s="1" t="s">
        <v>10</v>
      </c>
      <c r="S18" t="s">
        <v>13</v>
      </c>
      <c r="T18">
        <f>AVERAGE(B326:B492)</f>
        <v>0.0164348290598802</v>
      </c>
      <c r="U18">
        <f>AVERAGE(C326:C492)</f>
        <v>0.0150007340958084</v>
      </c>
      <c r="V18">
        <f>AVERAGE(D326:D492)</f>
        <v>0.0674253221317365</v>
      </c>
      <c r="W18">
        <f>AVERAGE(E326:E492)</f>
        <v>0.139983582532934</v>
      </c>
    </row>
    <row r="19" spans="1:23">
      <c r="A19" s="1">
        <v>17</v>
      </c>
      <c r="B19" s="2">
        <v>0.023581071</v>
      </c>
      <c r="C19" s="2">
        <v>0.023341485</v>
      </c>
      <c r="D19" s="2">
        <v>0.00861866999999999</v>
      </c>
      <c r="E19" s="2">
        <v>0.00791555599999999</v>
      </c>
      <c r="Q19" s="1" t="s">
        <v>10</v>
      </c>
      <c r="S19" t="s">
        <v>14</v>
      </c>
      <c r="T19">
        <f>MEDIAN(B326:B492)</f>
        <v>0.021491734</v>
      </c>
      <c r="U19">
        <f>MEDIAN(C326:C492)</f>
        <v>0.018049973</v>
      </c>
      <c r="V19">
        <f>MEDIAN(D326:D492)</f>
        <v>0.023974921</v>
      </c>
      <c r="W19">
        <f>MEDIAN(E326:E492)</f>
        <v>0.02913768</v>
      </c>
    </row>
    <row r="20" spans="1:23">
      <c r="A20" s="1">
        <v>18</v>
      </c>
      <c r="B20" s="2">
        <v>0.027614391</v>
      </c>
      <c r="C20" s="2">
        <v>0.027249805</v>
      </c>
      <c r="D20" s="2">
        <v>0.07974793</v>
      </c>
      <c r="E20" s="2">
        <v>0.081089252</v>
      </c>
      <c r="Q20" s="1" t="s">
        <v>10</v>
      </c>
      <c r="S20" t="s">
        <v>15</v>
      </c>
      <c r="T20">
        <f>COUNTIF(B326:B492,"&gt;0")</f>
        <v>134</v>
      </c>
      <c r="U20">
        <f>COUNTIF(C326:C492,"&gt;0")</f>
        <v>137</v>
      </c>
      <c r="V20">
        <f>COUNTIF(D326:D492,"&gt;0")</f>
        <v>133</v>
      </c>
      <c r="W20">
        <f>COUNTIF(E326:E492,"&gt;0")</f>
        <v>149</v>
      </c>
    </row>
    <row r="21" spans="1:23">
      <c r="A21" s="1">
        <v>19</v>
      </c>
      <c r="B21" s="2">
        <v>0.017399333</v>
      </c>
      <c r="C21" s="2">
        <v>0.019148752</v>
      </c>
      <c r="D21" s="2">
        <v>0.021913355</v>
      </c>
      <c r="E21" s="2">
        <v>0.024374168</v>
      </c>
      <c r="Q21" s="1" t="s">
        <v>10</v>
      </c>
      <c r="S21" t="s">
        <v>16</v>
      </c>
      <c r="T21">
        <f t="shared" ref="T21:W21" si="2">T20/324</f>
        <v>0.41358024691358</v>
      </c>
      <c r="U21">
        <f t="shared" si="2"/>
        <v>0.422839506172839</v>
      </c>
      <c r="V21">
        <f t="shared" si="2"/>
        <v>0.410493827160494</v>
      </c>
      <c r="W21">
        <f t="shared" si="2"/>
        <v>0.459876543209877</v>
      </c>
    </row>
    <row r="22" spans="1:23">
      <c r="A22" s="1">
        <v>20</v>
      </c>
      <c r="B22" s="2">
        <v>0.022766368</v>
      </c>
      <c r="C22" s="2">
        <v>0.022603735</v>
      </c>
      <c r="D22" s="2">
        <v>0.013844317</v>
      </c>
      <c r="E22" s="2">
        <v>0.012509027</v>
      </c>
      <c r="Q22" s="1" t="s">
        <v>10</v>
      </c>
      <c r="S22" t="s">
        <v>17</v>
      </c>
      <c r="T22">
        <f>COUNTIF(B326:B492,"&lt;0")</f>
        <v>0</v>
      </c>
      <c r="U22">
        <f>COUNTIF(C326:C492,"&lt;0")</f>
        <v>1</v>
      </c>
      <c r="V22">
        <f>COUNTIF(D326:D492,"&lt;0")</f>
        <v>0</v>
      </c>
      <c r="W22">
        <f>COUNTIF(E326:E492,"&lt;0")</f>
        <v>0</v>
      </c>
    </row>
    <row r="23" spans="1:23">
      <c r="A23" s="1">
        <v>21</v>
      </c>
      <c r="B23" s="2">
        <v>0</v>
      </c>
      <c r="C23" s="2">
        <v>0</v>
      </c>
      <c r="D23" s="2">
        <v>0</v>
      </c>
      <c r="E23" s="2">
        <v>0.243411633</v>
      </c>
      <c r="Q23" s="1" t="s">
        <v>10</v>
      </c>
      <c r="S23" t="s">
        <v>18</v>
      </c>
      <c r="T23">
        <f t="shared" ref="T23:W23" si="3">T22/324</f>
        <v>0</v>
      </c>
      <c r="U23">
        <f t="shared" si="3"/>
        <v>0.00308641975308642</v>
      </c>
      <c r="V23">
        <f t="shared" si="3"/>
        <v>0</v>
      </c>
      <c r="W23">
        <f t="shared" si="3"/>
        <v>0</v>
      </c>
    </row>
    <row r="24" spans="1:17">
      <c r="A24" s="1">
        <v>22</v>
      </c>
      <c r="B24" s="2">
        <v>0</v>
      </c>
      <c r="C24" s="2">
        <v>0</v>
      </c>
      <c r="D24" s="2">
        <v>0</v>
      </c>
      <c r="E24" s="2">
        <v>0</v>
      </c>
      <c r="Q24" s="1" t="s">
        <v>10</v>
      </c>
    </row>
    <row r="25" spans="1:19">
      <c r="A25" s="1">
        <v>23</v>
      </c>
      <c r="B25" s="2">
        <v>0</v>
      </c>
      <c r="C25" s="2">
        <v>0</v>
      </c>
      <c r="D25" s="2">
        <v>0</v>
      </c>
      <c r="E25" s="2">
        <v>0</v>
      </c>
      <c r="Q25" s="1" t="s">
        <v>10</v>
      </c>
      <c r="S25" t="s">
        <v>21</v>
      </c>
    </row>
    <row r="26" spans="1:17">
      <c r="A26" s="1">
        <v>24</v>
      </c>
      <c r="B26" s="2">
        <v>0</v>
      </c>
      <c r="C26" s="2">
        <v>0</v>
      </c>
      <c r="D26" s="2">
        <v>0</v>
      </c>
      <c r="E26" s="2">
        <v>0</v>
      </c>
      <c r="Q26" s="1" t="s">
        <v>10</v>
      </c>
    </row>
    <row r="27" spans="1:17">
      <c r="A27" s="1">
        <v>25</v>
      </c>
      <c r="B27" s="2">
        <v>0</v>
      </c>
      <c r="C27" s="2">
        <v>0</v>
      </c>
      <c r="D27" s="2">
        <v>0</v>
      </c>
      <c r="E27" s="2">
        <v>0.158675698</v>
      </c>
      <c r="Q27" s="1" t="s">
        <v>10</v>
      </c>
    </row>
    <row r="28" spans="1:17">
      <c r="A28" s="1">
        <v>26</v>
      </c>
      <c r="B28" s="2">
        <v>0.0128003759999999</v>
      </c>
      <c r="C28" s="2">
        <v>0.00773705800000002</v>
      </c>
      <c r="D28" s="2">
        <v>0.050759727</v>
      </c>
      <c r="E28" s="2">
        <v>0.050520224</v>
      </c>
      <c r="Q28" s="1" t="s">
        <v>10</v>
      </c>
    </row>
    <row r="29" spans="1:17">
      <c r="A29" s="1">
        <v>27</v>
      </c>
      <c r="B29" s="2">
        <v>0</v>
      </c>
      <c r="C29" s="2">
        <v>0</v>
      </c>
      <c r="D29" s="2">
        <v>0</v>
      </c>
      <c r="E29" s="2">
        <v>0</v>
      </c>
      <c r="Q29" s="1" t="s">
        <v>10</v>
      </c>
    </row>
    <row r="30" spans="1:17">
      <c r="A30" s="1">
        <v>28</v>
      </c>
      <c r="B30" s="2">
        <v>0</v>
      </c>
      <c r="C30" s="2">
        <v>0</v>
      </c>
      <c r="D30" s="2">
        <v>0</v>
      </c>
      <c r="E30" s="2">
        <v>0</v>
      </c>
      <c r="Q30" s="1" t="s">
        <v>10</v>
      </c>
    </row>
    <row r="31" spans="1:17">
      <c r="A31" s="1">
        <v>29</v>
      </c>
      <c r="B31" s="2">
        <v>0</v>
      </c>
      <c r="C31" s="2">
        <v>0</v>
      </c>
      <c r="D31" s="2">
        <v>0</v>
      </c>
      <c r="E31" s="2">
        <v>0</v>
      </c>
      <c r="Q31" s="1" t="s">
        <v>10</v>
      </c>
    </row>
    <row r="32" spans="1:17">
      <c r="A32" s="1">
        <v>30</v>
      </c>
      <c r="B32" s="2">
        <v>0.023011719</v>
      </c>
      <c r="C32" s="2">
        <v>0.023118096</v>
      </c>
      <c r="D32" s="2">
        <v>0.010298095</v>
      </c>
      <c r="E32" s="2">
        <v>0.00831109299999999</v>
      </c>
      <c r="Q32" s="1" t="s">
        <v>10</v>
      </c>
    </row>
    <row r="33" spans="1:17">
      <c r="A33" s="1">
        <v>31</v>
      </c>
      <c r="B33" s="2">
        <v>0.01790581</v>
      </c>
      <c r="C33" s="2">
        <v>0.020584649</v>
      </c>
      <c r="D33" s="2">
        <v>0.01609475</v>
      </c>
      <c r="E33" s="2">
        <v>0.017930497</v>
      </c>
      <c r="Q33" s="1" t="s">
        <v>10</v>
      </c>
    </row>
    <row r="34" spans="1:17">
      <c r="A34" s="1">
        <v>32</v>
      </c>
      <c r="B34" s="2">
        <v>0.00650277599999999</v>
      </c>
      <c r="C34" s="2">
        <v>0.00265027500000001</v>
      </c>
      <c r="D34" s="2">
        <v>0.255009628</v>
      </c>
      <c r="E34" s="2">
        <v>0.428188712</v>
      </c>
      <c r="Q34" s="1" t="s">
        <v>10</v>
      </c>
    </row>
    <row r="35" spans="1:17">
      <c r="A35" s="1">
        <v>33</v>
      </c>
      <c r="B35" s="2">
        <v>0.00355909200000001</v>
      </c>
      <c r="C35" s="2">
        <v>0.00285239000000001</v>
      </c>
      <c r="D35" s="2">
        <v>0.329028182</v>
      </c>
      <c r="E35" s="2">
        <v>0.347126467</v>
      </c>
      <c r="Q35" s="1" t="s">
        <v>10</v>
      </c>
    </row>
    <row r="36" spans="1:17">
      <c r="A36" s="1">
        <v>34</v>
      </c>
      <c r="B36" s="2">
        <v>0.022075064</v>
      </c>
      <c r="C36" s="2">
        <v>0.014254823</v>
      </c>
      <c r="D36" s="2">
        <v>0.123700936</v>
      </c>
      <c r="E36" s="2">
        <v>0.134737297</v>
      </c>
      <c r="Q36" s="1" t="s">
        <v>10</v>
      </c>
    </row>
    <row r="37" spans="1:17">
      <c r="A37" s="1">
        <v>35</v>
      </c>
      <c r="B37" s="2">
        <v>0.028388427</v>
      </c>
      <c r="C37" s="2">
        <v>0.019403901</v>
      </c>
      <c r="D37" s="2">
        <v>0.051600275</v>
      </c>
      <c r="E37" s="2">
        <v>0.054587847</v>
      </c>
      <c r="Q37" s="1" t="s">
        <v>10</v>
      </c>
    </row>
    <row r="38" spans="1:17">
      <c r="A38" s="1">
        <v>36</v>
      </c>
      <c r="B38" s="2">
        <v>0.018549898</v>
      </c>
      <c r="C38" s="2">
        <v>0.013139956</v>
      </c>
      <c r="D38" s="2">
        <v>0.08584263</v>
      </c>
      <c r="E38" s="2">
        <v>0.084600621</v>
      </c>
      <c r="Q38" s="1" t="s">
        <v>10</v>
      </c>
    </row>
    <row r="39" spans="1:17">
      <c r="A39" s="1">
        <v>37</v>
      </c>
      <c r="B39" s="2">
        <v>0</v>
      </c>
      <c r="C39" s="2">
        <v>0</v>
      </c>
      <c r="D39" s="2">
        <v>0</v>
      </c>
      <c r="E39" s="2">
        <v>0.904310237</v>
      </c>
      <c r="Q39" s="1" t="s">
        <v>10</v>
      </c>
    </row>
    <row r="40" spans="1:17">
      <c r="A40" s="1">
        <v>38</v>
      </c>
      <c r="B40" s="2">
        <v>0</v>
      </c>
      <c r="C40" s="2">
        <v>9.7093999999999e-5</v>
      </c>
      <c r="D40" s="2">
        <v>0</v>
      </c>
      <c r="E40" s="2">
        <v>9.68530000000009e-5</v>
      </c>
      <c r="Q40" s="1" t="s">
        <v>10</v>
      </c>
    </row>
    <row r="41" spans="1:17">
      <c r="A41" s="1">
        <v>39</v>
      </c>
      <c r="B41" s="2">
        <v>0.021529893</v>
      </c>
      <c r="C41" s="2">
        <v>0.015092151</v>
      </c>
      <c r="D41" s="2">
        <v>0.157304319</v>
      </c>
      <c r="E41" s="2">
        <v>0.17480826</v>
      </c>
      <c r="Q41" s="1" t="s">
        <v>10</v>
      </c>
    </row>
    <row r="42" spans="1:17">
      <c r="A42" s="1">
        <v>40</v>
      </c>
      <c r="B42" s="2">
        <v>0.023525714</v>
      </c>
      <c r="C42" s="2">
        <v>0.022864901</v>
      </c>
      <c r="D42" s="2">
        <v>0.010578634</v>
      </c>
      <c r="E42" s="2">
        <v>0.00929304799999997</v>
      </c>
      <c r="Q42" s="1" t="s">
        <v>10</v>
      </c>
    </row>
    <row r="43" spans="1:17">
      <c r="A43" s="1">
        <v>41</v>
      </c>
      <c r="B43" s="2">
        <v>0.02532903</v>
      </c>
      <c r="C43" s="2">
        <v>0.018202593</v>
      </c>
      <c r="D43" s="2">
        <v>0.034269617</v>
      </c>
      <c r="E43" s="2">
        <v>0.041257527</v>
      </c>
      <c r="Q43" s="1" t="s">
        <v>10</v>
      </c>
    </row>
    <row r="44" spans="1:17">
      <c r="A44" s="1">
        <v>42</v>
      </c>
      <c r="B44" s="2">
        <v>0.024188125</v>
      </c>
      <c r="C44" s="2">
        <v>0.021126584</v>
      </c>
      <c r="D44" s="2">
        <v>0.074781075</v>
      </c>
      <c r="E44" s="2">
        <v>0.080026908</v>
      </c>
      <c r="Q44" s="1" t="s">
        <v>10</v>
      </c>
    </row>
    <row r="45" spans="1:17">
      <c r="A45" s="1">
        <v>43</v>
      </c>
      <c r="B45" s="2">
        <v>0.026509399</v>
      </c>
      <c r="C45" s="2">
        <v>0.025413133</v>
      </c>
      <c r="D45" s="2">
        <v>0.009382797</v>
      </c>
      <c r="E45" s="2">
        <v>0.00833778299999999</v>
      </c>
      <c r="Q45" s="1" t="s">
        <v>10</v>
      </c>
    </row>
    <row r="46" spans="1:17">
      <c r="A46" s="1">
        <v>44</v>
      </c>
      <c r="B46" s="2">
        <v>0</v>
      </c>
      <c r="C46" s="2">
        <v>0.022035518</v>
      </c>
      <c r="D46" s="2">
        <v>0</v>
      </c>
      <c r="E46" s="2">
        <v>0.2393454</v>
      </c>
      <c r="Q46" s="1" t="s">
        <v>10</v>
      </c>
    </row>
    <row r="47" spans="1:17">
      <c r="A47" s="1">
        <v>45</v>
      </c>
      <c r="B47" s="2">
        <v>0.025680941</v>
      </c>
      <c r="C47" s="2">
        <v>0.014510594</v>
      </c>
      <c r="D47" s="2">
        <v>0.189821158</v>
      </c>
      <c r="E47" s="2">
        <v>0.204367674</v>
      </c>
      <c r="Q47" s="1" t="s">
        <v>10</v>
      </c>
    </row>
    <row r="48" spans="1:17">
      <c r="A48" s="1">
        <v>46</v>
      </c>
      <c r="B48" s="2">
        <v>0.014322477</v>
      </c>
      <c r="C48" s="2">
        <v>0.00865151599999991</v>
      </c>
      <c r="D48" s="2">
        <v>0.110231901</v>
      </c>
      <c r="E48" s="2">
        <v>0.109006306</v>
      </c>
      <c r="Q48" s="1" t="s">
        <v>10</v>
      </c>
    </row>
    <row r="49" spans="1:17">
      <c r="A49" s="1">
        <v>47</v>
      </c>
      <c r="B49" s="2">
        <v>0</v>
      </c>
      <c r="C49" s="2">
        <v>0</v>
      </c>
      <c r="D49" s="2">
        <v>0</v>
      </c>
      <c r="E49" s="2">
        <v>0.077962561</v>
      </c>
      <c r="Q49" s="1" t="s">
        <v>10</v>
      </c>
    </row>
    <row r="50" spans="1:17">
      <c r="A50" s="1">
        <v>48</v>
      </c>
      <c r="B50" s="2">
        <v>0</v>
      </c>
      <c r="C50" s="2">
        <v>0</v>
      </c>
      <c r="D50" s="2">
        <v>0</v>
      </c>
      <c r="E50" s="2">
        <v>0</v>
      </c>
      <c r="Q50" s="1" t="s">
        <v>10</v>
      </c>
    </row>
    <row r="51" spans="1:17">
      <c r="A51" s="1">
        <v>49</v>
      </c>
      <c r="B51" s="2">
        <v>0</v>
      </c>
      <c r="C51" s="2">
        <v>0</v>
      </c>
      <c r="D51" s="2">
        <v>0</v>
      </c>
      <c r="E51" s="2">
        <v>0</v>
      </c>
      <c r="Q51" s="1" t="s">
        <v>10</v>
      </c>
    </row>
    <row r="52" spans="1:17">
      <c r="A52" s="1">
        <v>50</v>
      </c>
      <c r="B52" s="2">
        <v>0</v>
      </c>
      <c r="C52" s="2">
        <v>0</v>
      </c>
      <c r="D52" s="2">
        <v>0</v>
      </c>
      <c r="E52" s="2">
        <v>0</v>
      </c>
      <c r="Q52" s="1" t="s">
        <v>10</v>
      </c>
    </row>
    <row r="53" spans="1:17">
      <c r="A53" s="1">
        <v>51</v>
      </c>
      <c r="B53" s="2">
        <v>3.41000000000924e-7</v>
      </c>
      <c r="C53" s="2">
        <v>-1.43000000007998e-7</v>
      </c>
      <c r="D53" s="2">
        <v>0.730275273</v>
      </c>
      <c r="E53" s="2">
        <v>0.757109513</v>
      </c>
      <c r="Q53" s="1" t="s">
        <v>10</v>
      </c>
    </row>
    <row r="54" spans="1:17">
      <c r="A54" s="1">
        <v>52</v>
      </c>
      <c r="B54" s="2">
        <v>-4.77999999998202e-7</v>
      </c>
      <c r="C54" s="2">
        <v>6.10180000000099e-5</v>
      </c>
      <c r="D54" s="2">
        <v>-9.99999999473644e-10</v>
      </c>
      <c r="E54" s="2">
        <v>6.07330000000073e-5</v>
      </c>
      <c r="Q54" s="1" t="s">
        <v>10</v>
      </c>
    </row>
    <row r="55" spans="1:17">
      <c r="A55" s="1">
        <v>53</v>
      </c>
      <c r="B55" s="2">
        <v>0</v>
      </c>
      <c r="C55" s="2">
        <v>0</v>
      </c>
      <c r="D55" s="2">
        <v>0</v>
      </c>
      <c r="E55" s="2">
        <v>0</v>
      </c>
      <c r="Q55" s="1" t="s">
        <v>10</v>
      </c>
    </row>
    <row r="56" spans="1:17">
      <c r="A56" s="1">
        <v>54</v>
      </c>
      <c r="B56" s="2">
        <v>0</v>
      </c>
      <c r="C56" s="2">
        <v>0</v>
      </c>
      <c r="D56" s="2">
        <v>0</v>
      </c>
      <c r="E56" s="2">
        <v>0</v>
      </c>
      <c r="Q56" s="1" t="s">
        <v>10</v>
      </c>
    </row>
    <row r="57" spans="1:17">
      <c r="A57" s="1">
        <v>55</v>
      </c>
      <c r="B57" s="2">
        <v>0</v>
      </c>
      <c r="C57" s="2">
        <v>0</v>
      </c>
      <c r="D57" s="2">
        <v>0</v>
      </c>
      <c r="E57" s="2">
        <v>0</v>
      </c>
      <c r="Q57" s="1" t="s">
        <v>10</v>
      </c>
    </row>
    <row r="58" spans="1:17">
      <c r="A58" s="1">
        <v>56</v>
      </c>
      <c r="B58" s="2">
        <v>0.029194605</v>
      </c>
      <c r="C58" s="2">
        <v>0.025999508</v>
      </c>
      <c r="D58" s="2">
        <v>0.051672119</v>
      </c>
      <c r="E58" s="2">
        <v>0.051900976</v>
      </c>
      <c r="Q58" s="1" t="s">
        <v>10</v>
      </c>
    </row>
    <row r="59" spans="1:17">
      <c r="A59" s="1">
        <v>57</v>
      </c>
      <c r="B59" s="2">
        <v>0</v>
      </c>
      <c r="C59" s="2">
        <v>0</v>
      </c>
      <c r="D59" s="2">
        <v>0</v>
      </c>
      <c r="E59" s="2">
        <v>0</v>
      </c>
      <c r="Q59" s="1" t="s">
        <v>10</v>
      </c>
    </row>
    <row r="60" spans="1:17">
      <c r="A60" s="1">
        <v>58</v>
      </c>
      <c r="B60" s="2">
        <v>0.020799626</v>
      </c>
      <c r="C60" s="2">
        <v>0.021918919</v>
      </c>
      <c r="D60" s="2">
        <v>0.02277221</v>
      </c>
      <c r="E60" s="2">
        <v>0.019916649</v>
      </c>
      <c r="Q60" s="1" t="s">
        <v>10</v>
      </c>
    </row>
    <row r="61" spans="1:17">
      <c r="A61" s="1">
        <v>59</v>
      </c>
      <c r="B61" s="2">
        <v>0.023100291</v>
      </c>
      <c r="C61" s="2">
        <v>0.022667827</v>
      </c>
      <c r="D61" s="2">
        <v>0.019555476</v>
      </c>
      <c r="E61" s="2">
        <v>0.017182406</v>
      </c>
      <c r="Q61" s="1" t="s">
        <v>10</v>
      </c>
    </row>
    <row r="62" spans="1:17">
      <c r="A62" s="1">
        <v>60</v>
      </c>
      <c r="B62" s="2">
        <v>0.01367187</v>
      </c>
      <c r="C62" s="2">
        <v>0.01886832</v>
      </c>
      <c r="D62" s="2">
        <v>0.00765555400000001</v>
      </c>
      <c r="E62" s="2">
        <v>0.010408675</v>
      </c>
      <c r="Q62" s="1" t="s">
        <v>10</v>
      </c>
    </row>
    <row r="63" spans="1:17">
      <c r="A63" s="1">
        <v>61</v>
      </c>
      <c r="B63" s="2">
        <v>0.027390661</v>
      </c>
      <c r="C63" s="2">
        <v>0.027051021</v>
      </c>
      <c r="D63" s="2">
        <v>0.033005879</v>
      </c>
      <c r="E63" s="2">
        <v>0.032902806</v>
      </c>
      <c r="Q63" s="1" t="s">
        <v>10</v>
      </c>
    </row>
    <row r="64" spans="1:17">
      <c r="A64" s="1">
        <v>62</v>
      </c>
      <c r="B64" s="2">
        <v>0.00958778299999999</v>
      </c>
      <c r="C64" s="2">
        <v>0.00938940899999999</v>
      </c>
      <c r="D64" s="2">
        <v>0.147282576</v>
      </c>
      <c r="E64" s="2">
        <v>0.175854601</v>
      </c>
      <c r="Q64" s="1" t="s">
        <v>10</v>
      </c>
    </row>
    <row r="65" spans="1:17">
      <c r="A65" s="1">
        <v>63</v>
      </c>
      <c r="B65" s="2">
        <v>0.00420363499999998</v>
      </c>
      <c r="C65" s="2">
        <v>0.017959006</v>
      </c>
      <c r="D65" s="2">
        <v>0.00470216099999998</v>
      </c>
      <c r="E65" s="2">
        <v>0.036083517</v>
      </c>
      <c r="Q65" s="1" t="s">
        <v>10</v>
      </c>
    </row>
    <row r="66" spans="1:17">
      <c r="A66" s="1">
        <v>64</v>
      </c>
      <c r="B66" s="2">
        <v>0.02882326</v>
      </c>
      <c r="C66" s="2">
        <v>0.028335231</v>
      </c>
      <c r="D66" s="2">
        <v>0.01580483</v>
      </c>
      <c r="E66" s="2">
        <v>0.015288478</v>
      </c>
      <c r="Q66" s="1" t="s">
        <v>10</v>
      </c>
    </row>
    <row r="67" spans="1:17">
      <c r="A67" s="1">
        <v>65</v>
      </c>
      <c r="B67" s="2">
        <v>0.02836171</v>
      </c>
      <c r="C67" s="2">
        <v>0.026839719</v>
      </c>
      <c r="D67" s="2">
        <v>0.011319873</v>
      </c>
      <c r="E67" s="2">
        <v>0.010718026</v>
      </c>
      <c r="Q67" s="1" t="s">
        <v>10</v>
      </c>
    </row>
    <row r="68" spans="1:17">
      <c r="A68" s="1">
        <v>66</v>
      </c>
      <c r="B68" s="2">
        <v>0.02821869</v>
      </c>
      <c r="C68" s="2">
        <v>0.027810351</v>
      </c>
      <c r="D68" s="2">
        <v>0.04185932</v>
      </c>
      <c r="E68" s="2">
        <v>0.041366028</v>
      </c>
      <c r="Q68" s="1" t="s">
        <v>10</v>
      </c>
    </row>
    <row r="69" spans="1:17">
      <c r="A69" s="1">
        <v>67</v>
      </c>
      <c r="B69" s="2">
        <v>0</v>
      </c>
      <c r="C69" s="2">
        <v>0</v>
      </c>
      <c r="D69" s="2">
        <v>0</v>
      </c>
      <c r="E69" s="2">
        <v>0</v>
      </c>
      <c r="Q69" s="1" t="s">
        <v>10</v>
      </c>
    </row>
    <row r="70" spans="1:17">
      <c r="A70" s="1">
        <v>68</v>
      </c>
      <c r="B70" s="2">
        <v>0.024135757</v>
      </c>
      <c r="C70" s="2">
        <v>0.022814447</v>
      </c>
      <c r="D70" s="2">
        <v>0.211928619</v>
      </c>
      <c r="E70" s="2">
        <v>0.222519188</v>
      </c>
      <c r="Q70" s="1" t="s">
        <v>10</v>
      </c>
    </row>
    <row r="71" spans="1:17">
      <c r="A71" s="1">
        <v>69</v>
      </c>
      <c r="B71" s="2">
        <v>0.025943962</v>
      </c>
      <c r="C71" s="2">
        <v>0.024320018</v>
      </c>
      <c r="D71" s="2">
        <v>0.072101553</v>
      </c>
      <c r="E71" s="2">
        <v>0.072928936</v>
      </c>
      <c r="Q71" s="1" t="s">
        <v>10</v>
      </c>
    </row>
    <row r="72" spans="1:17">
      <c r="A72" s="1">
        <v>70</v>
      </c>
      <c r="B72" s="2">
        <v>0</v>
      </c>
      <c r="C72" s="2">
        <v>0</v>
      </c>
      <c r="D72" s="2">
        <v>0</v>
      </c>
      <c r="E72" s="2">
        <v>0</v>
      </c>
      <c r="Q72" s="1" t="s">
        <v>10</v>
      </c>
    </row>
    <row r="73" spans="1:17">
      <c r="A73" s="1">
        <v>71</v>
      </c>
      <c r="B73" s="2">
        <v>0</v>
      </c>
      <c r="C73" s="2">
        <v>0</v>
      </c>
      <c r="D73" s="2">
        <v>0</v>
      </c>
      <c r="E73" s="2">
        <v>0</v>
      </c>
      <c r="Q73" s="1" t="s">
        <v>10</v>
      </c>
    </row>
    <row r="74" spans="1:17">
      <c r="A74" s="1">
        <v>72</v>
      </c>
      <c r="B74" s="2">
        <v>0.028477709</v>
      </c>
      <c r="C74" s="2">
        <v>0.027457013</v>
      </c>
      <c r="D74" s="2">
        <v>0.011864784</v>
      </c>
      <c r="E74" s="2">
        <v>0.011146059</v>
      </c>
      <c r="Q74" s="1" t="s">
        <v>10</v>
      </c>
    </row>
    <row r="75" spans="1:17">
      <c r="A75" s="1">
        <v>73</v>
      </c>
      <c r="B75" s="2">
        <v>0.027870471</v>
      </c>
      <c r="C75" s="2">
        <v>0.027182574</v>
      </c>
      <c r="D75" s="2">
        <v>0.019476203</v>
      </c>
      <c r="E75" s="2">
        <v>0.018823527</v>
      </c>
      <c r="Q75" s="1" t="s">
        <v>10</v>
      </c>
    </row>
    <row r="76" spans="1:17">
      <c r="A76" s="1">
        <v>74</v>
      </c>
      <c r="B76" s="2">
        <v>0.026784497</v>
      </c>
      <c r="C76" s="2">
        <v>0.026782399</v>
      </c>
      <c r="D76" s="2">
        <v>0.039065932</v>
      </c>
      <c r="E76" s="2">
        <v>0.038972835</v>
      </c>
      <c r="Q76" s="1" t="s">
        <v>10</v>
      </c>
    </row>
    <row r="77" spans="1:17">
      <c r="A77" s="1">
        <v>75</v>
      </c>
      <c r="B77" s="2">
        <v>0.029456497</v>
      </c>
      <c r="C77" s="2">
        <v>0.028934834</v>
      </c>
      <c r="D77" s="2">
        <v>0.010489497</v>
      </c>
      <c r="E77" s="2">
        <v>0.00973352099999997</v>
      </c>
      <c r="Q77" s="1" t="s">
        <v>10</v>
      </c>
    </row>
    <row r="78" spans="1:17">
      <c r="A78" s="1">
        <v>76</v>
      </c>
      <c r="B78" s="2">
        <v>0.020459706</v>
      </c>
      <c r="C78" s="2">
        <v>0.019792697</v>
      </c>
      <c r="D78" s="2">
        <v>0.247283154</v>
      </c>
      <c r="E78" s="2">
        <v>0.260820822</v>
      </c>
      <c r="Q78" s="1" t="s">
        <v>10</v>
      </c>
    </row>
    <row r="79" spans="1:17">
      <c r="A79" s="1">
        <v>77</v>
      </c>
      <c r="B79" s="2">
        <v>0.026635957</v>
      </c>
      <c r="C79" s="2">
        <v>0.026537837</v>
      </c>
      <c r="D79" s="2">
        <v>0.025551017</v>
      </c>
      <c r="E79" s="2">
        <v>0.024865815</v>
      </c>
      <c r="Q79" s="1" t="s">
        <v>10</v>
      </c>
    </row>
    <row r="80" spans="1:17">
      <c r="A80" s="1">
        <v>78</v>
      </c>
      <c r="B80" s="2">
        <v>0</v>
      </c>
      <c r="C80" s="2">
        <v>0</v>
      </c>
      <c r="D80" s="2">
        <v>0</v>
      </c>
      <c r="E80" s="2">
        <v>0</v>
      </c>
      <c r="Q80" s="1" t="s">
        <v>10</v>
      </c>
    </row>
    <row r="81" spans="1:17">
      <c r="A81" s="1">
        <v>79</v>
      </c>
      <c r="B81" s="2">
        <v>0.026297304</v>
      </c>
      <c r="C81" s="2">
        <v>0.025284296</v>
      </c>
      <c r="D81" s="2">
        <v>0.074167459</v>
      </c>
      <c r="E81" s="2">
        <v>0.076966317</v>
      </c>
      <c r="Q81" s="1" t="s">
        <v>10</v>
      </c>
    </row>
    <row r="82" spans="1:17">
      <c r="A82" s="1">
        <v>80</v>
      </c>
      <c r="B82" s="2">
        <v>0.023136648</v>
      </c>
      <c r="C82" s="2">
        <v>0.022024042</v>
      </c>
      <c r="D82" s="2">
        <v>0.093165814</v>
      </c>
      <c r="E82" s="2">
        <v>0.111634567</v>
      </c>
      <c r="Q82" s="1" t="s">
        <v>10</v>
      </c>
    </row>
    <row r="83" spans="1:17">
      <c r="A83" s="1">
        <v>81</v>
      </c>
      <c r="B83" s="2">
        <v>0.0269485</v>
      </c>
      <c r="C83" s="2">
        <v>0.025873264</v>
      </c>
      <c r="D83" s="2">
        <v>0.07611177</v>
      </c>
      <c r="E83" s="2">
        <v>0.08129075</v>
      </c>
      <c r="Q83" s="1" t="s">
        <v>10</v>
      </c>
    </row>
    <row r="84" spans="1:17">
      <c r="A84" s="1">
        <v>82</v>
      </c>
      <c r="B84" s="2">
        <v>0.026414745</v>
      </c>
      <c r="C84" s="2">
        <v>0.025816715</v>
      </c>
      <c r="D84" s="2">
        <v>0.026467732</v>
      </c>
      <c r="E84" s="2">
        <v>0.025802397</v>
      </c>
      <c r="Q84" s="1" t="s">
        <v>10</v>
      </c>
    </row>
    <row r="85" spans="1:17">
      <c r="A85" s="1">
        <v>83</v>
      </c>
      <c r="B85" s="2">
        <v>0.024940395</v>
      </c>
      <c r="C85" s="2">
        <v>0.023543055</v>
      </c>
      <c r="D85" s="2">
        <v>0.023060058</v>
      </c>
      <c r="E85" s="2">
        <v>0.022248275</v>
      </c>
      <c r="Q85" s="1" t="s">
        <v>10</v>
      </c>
    </row>
    <row r="86" spans="1:17">
      <c r="A86" s="1">
        <v>84</v>
      </c>
      <c r="B86" s="2">
        <v>0.025811881</v>
      </c>
      <c r="C86" s="2">
        <v>0.025140735</v>
      </c>
      <c r="D86" s="2">
        <v>0.051656331</v>
      </c>
      <c r="E86" s="2">
        <v>0.055018467</v>
      </c>
      <c r="Q86" s="1" t="s">
        <v>10</v>
      </c>
    </row>
    <row r="87" spans="1:17">
      <c r="A87" s="1">
        <v>85</v>
      </c>
      <c r="B87" s="2">
        <v>0.02314502</v>
      </c>
      <c r="C87" s="2">
        <v>0.022113968</v>
      </c>
      <c r="D87" s="2">
        <v>0.068431254</v>
      </c>
      <c r="E87" s="2">
        <v>0.06853563</v>
      </c>
      <c r="Q87" s="1" t="s">
        <v>10</v>
      </c>
    </row>
    <row r="88" spans="1:17">
      <c r="A88" s="1">
        <v>86</v>
      </c>
      <c r="B88" s="2">
        <v>0.025117702</v>
      </c>
      <c r="C88" s="2">
        <v>0.024824218</v>
      </c>
      <c r="D88" s="2">
        <v>0.015804807</v>
      </c>
      <c r="E88" s="2">
        <v>0.014367598</v>
      </c>
      <c r="Q88" s="1" t="s">
        <v>10</v>
      </c>
    </row>
    <row r="89" spans="1:17">
      <c r="A89" s="1">
        <v>87</v>
      </c>
      <c r="B89" s="2">
        <v>0.028654674</v>
      </c>
      <c r="C89" s="2">
        <v>0.028031129</v>
      </c>
      <c r="D89" s="2">
        <v>0.013100058</v>
      </c>
      <c r="E89" s="2">
        <v>0.012495655</v>
      </c>
      <c r="Q89" s="1" t="s">
        <v>10</v>
      </c>
    </row>
    <row r="90" spans="1:17">
      <c r="A90" s="1">
        <v>88</v>
      </c>
      <c r="B90" s="2">
        <v>0.019804376</v>
      </c>
      <c r="C90" s="2">
        <v>0.018228768</v>
      </c>
      <c r="D90" s="2">
        <v>0.133005484</v>
      </c>
      <c r="E90" s="2">
        <v>0.154226993</v>
      </c>
      <c r="Q90" s="1" t="s">
        <v>10</v>
      </c>
    </row>
    <row r="91" spans="1:17">
      <c r="A91" s="1">
        <v>89</v>
      </c>
      <c r="B91" s="2">
        <v>0.020377583</v>
      </c>
      <c r="C91" s="2">
        <v>0.019927989</v>
      </c>
      <c r="D91" s="2">
        <v>0.14539938</v>
      </c>
      <c r="E91" s="2">
        <v>0.149481109</v>
      </c>
      <c r="Q91" s="1" t="s">
        <v>10</v>
      </c>
    </row>
    <row r="92" spans="1:17">
      <c r="A92" s="1">
        <v>90</v>
      </c>
      <c r="B92" s="2">
        <v>0</v>
      </c>
      <c r="C92" s="2">
        <v>0</v>
      </c>
      <c r="D92" s="2">
        <v>0</v>
      </c>
      <c r="E92" s="2">
        <v>0</v>
      </c>
      <c r="Q92" s="1" t="s">
        <v>10</v>
      </c>
    </row>
    <row r="93" spans="1:17">
      <c r="A93" s="1">
        <v>91</v>
      </c>
      <c r="B93" s="2">
        <v>0</v>
      </c>
      <c r="C93" s="2">
        <v>0</v>
      </c>
      <c r="D93" s="2">
        <v>0</v>
      </c>
      <c r="E93" s="2">
        <v>0</v>
      </c>
      <c r="Q93" s="1" t="s">
        <v>10</v>
      </c>
    </row>
    <row r="94" spans="1:17">
      <c r="A94" s="1">
        <v>92</v>
      </c>
      <c r="B94" s="2">
        <v>0.027614318</v>
      </c>
      <c r="C94" s="2">
        <v>0.026770891</v>
      </c>
      <c r="D94" s="2">
        <v>0.056979575</v>
      </c>
      <c r="E94" s="2">
        <v>0.056510018</v>
      </c>
      <c r="Q94" s="1" t="s">
        <v>10</v>
      </c>
    </row>
    <row r="95" spans="1:17">
      <c r="A95" s="1">
        <v>93</v>
      </c>
      <c r="B95" s="2">
        <v>0</v>
      </c>
      <c r="C95" s="2">
        <v>-4.83000000002509e-7</v>
      </c>
      <c r="D95" s="2">
        <v>0</v>
      </c>
      <c r="E95" s="2">
        <v>0</v>
      </c>
      <c r="Q95" s="1" t="s">
        <v>10</v>
      </c>
    </row>
    <row r="96" spans="1:17">
      <c r="A96" s="1">
        <v>94</v>
      </c>
      <c r="B96" s="2">
        <v>0.024156067</v>
      </c>
      <c r="C96" s="2">
        <v>0.021517618</v>
      </c>
      <c r="D96" s="2">
        <v>0.117377997</v>
      </c>
      <c r="E96" s="2">
        <v>0.128900608</v>
      </c>
      <c r="Q96" s="1" t="s">
        <v>10</v>
      </c>
    </row>
    <row r="97" spans="1:17">
      <c r="A97" s="1">
        <v>95</v>
      </c>
      <c r="B97" s="2">
        <v>0.012530786</v>
      </c>
      <c r="C97" s="2">
        <v>0.00970168400000004</v>
      </c>
      <c r="D97" s="2">
        <v>0.175704228</v>
      </c>
      <c r="E97" s="2">
        <v>0.210610808</v>
      </c>
      <c r="Q97" s="1" t="s">
        <v>10</v>
      </c>
    </row>
    <row r="98" spans="1:17">
      <c r="A98" s="1">
        <v>96</v>
      </c>
      <c r="B98" s="2">
        <v>0.025373155</v>
      </c>
      <c r="C98" s="2">
        <v>0.025048305</v>
      </c>
      <c r="D98" s="2">
        <v>0.011529796</v>
      </c>
      <c r="E98" s="2">
        <v>0.011465354</v>
      </c>
      <c r="Q98" s="1" t="s">
        <v>10</v>
      </c>
    </row>
    <row r="99" spans="1:17">
      <c r="A99" s="1">
        <v>97</v>
      </c>
      <c r="B99" s="2">
        <v>0.026258926</v>
      </c>
      <c r="C99" s="2">
        <v>0.025692715</v>
      </c>
      <c r="D99" s="2">
        <v>0.00640316799999996</v>
      </c>
      <c r="E99" s="2">
        <v>0.00606681000000003</v>
      </c>
      <c r="Q99" s="1" t="s">
        <v>10</v>
      </c>
    </row>
    <row r="100" spans="1:17">
      <c r="A100" s="1">
        <v>98</v>
      </c>
      <c r="B100" s="2">
        <v>0.025636045</v>
      </c>
      <c r="C100" s="2">
        <v>0.025618188</v>
      </c>
      <c r="D100" s="2">
        <v>0.00868867899999998</v>
      </c>
      <c r="E100" s="2">
        <v>0.00891996300000003</v>
      </c>
      <c r="Q100" s="1" t="s">
        <v>10</v>
      </c>
    </row>
    <row r="101" spans="1:17">
      <c r="A101" s="1">
        <v>99</v>
      </c>
      <c r="B101" s="2">
        <v>0.024970745</v>
      </c>
      <c r="C101" s="2">
        <v>0.023807977</v>
      </c>
      <c r="D101" s="2">
        <v>0.018790475</v>
      </c>
      <c r="E101" s="2">
        <v>0.017964354</v>
      </c>
      <c r="Q101" s="1" t="s">
        <v>10</v>
      </c>
    </row>
    <row r="102" spans="1:17">
      <c r="A102" s="1">
        <v>100</v>
      </c>
      <c r="B102" s="2">
        <v>0.027115445</v>
      </c>
      <c r="C102" s="2">
        <v>0.026292613</v>
      </c>
      <c r="D102" s="2">
        <v>0.017111089</v>
      </c>
      <c r="E102" s="2">
        <v>0.016487701</v>
      </c>
      <c r="Q102" s="1" t="s">
        <v>10</v>
      </c>
    </row>
    <row r="103" spans="1:17">
      <c r="A103" s="1">
        <v>101</v>
      </c>
      <c r="B103" s="2">
        <v>0.022920166</v>
      </c>
      <c r="C103" s="2">
        <v>0.023251134</v>
      </c>
      <c r="D103" s="2">
        <v>0.025422614</v>
      </c>
      <c r="E103" s="2">
        <v>0.024195215</v>
      </c>
      <c r="Q103" s="1" t="s">
        <v>10</v>
      </c>
    </row>
    <row r="104" spans="1:17">
      <c r="A104" s="1">
        <v>102</v>
      </c>
      <c r="B104" s="2">
        <v>0.02618244</v>
      </c>
      <c r="C104" s="2">
        <v>0.025502064</v>
      </c>
      <c r="D104" s="2">
        <v>0.00621183000000003</v>
      </c>
      <c r="E104" s="2">
        <v>0.00567080600000003</v>
      </c>
      <c r="Q104" s="1" t="s">
        <v>10</v>
      </c>
    </row>
    <row r="105" spans="1:17">
      <c r="A105" s="1">
        <v>103</v>
      </c>
      <c r="B105" s="2">
        <v>0.024985758</v>
      </c>
      <c r="C105" s="2">
        <v>0.024206345</v>
      </c>
      <c r="D105" s="2">
        <v>0.027900935</v>
      </c>
      <c r="E105" s="2">
        <v>0.027658362</v>
      </c>
      <c r="Q105" s="1" t="s">
        <v>10</v>
      </c>
    </row>
    <row r="106" spans="1:17">
      <c r="A106" s="1">
        <v>104</v>
      </c>
      <c r="B106" s="2">
        <v>0</v>
      </c>
      <c r="C106" s="2">
        <v>0</v>
      </c>
      <c r="D106" s="2">
        <v>0</v>
      </c>
      <c r="E106" s="2">
        <v>0</v>
      </c>
      <c r="Q106" s="1" t="s">
        <v>10</v>
      </c>
    </row>
    <row r="107" spans="1:17">
      <c r="A107" s="1">
        <v>105</v>
      </c>
      <c r="B107" s="2">
        <v>0.024355009</v>
      </c>
      <c r="C107" s="2">
        <v>0.023272226</v>
      </c>
      <c r="D107" s="2">
        <v>0.102872548</v>
      </c>
      <c r="E107" s="2">
        <v>0.1059387</v>
      </c>
      <c r="Q107" s="1" t="s">
        <v>10</v>
      </c>
    </row>
    <row r="108" spans="1:17">
      <c r="A108" s="1">
        <v>106</v>
      </c>
      <c r="B108" s="2">
        <v>0</v>
      </c>
      <c r="C108" s="2">
        <v>6.23259999999997e-5</v>
      </c>
      <c r="D108" s="2">
        <v>0</v>
      </c>
      <c r="E108" s="2">
        <v>6.24780000000012e-5</v>
      </c>
      <c r="Q108" s="1" t="s">
        <v>10</v>
      </c>
    </row>
    <row r="109" spans="1:17">
      <c r="A109" s="1">
        <v>107</v>
      </c>
      <c r="B109" s="2">
        <v>0.021368194</v>
      </c>
      <c r="C109" s="2">
        <v>0.02110537</v>
      </c>
      <c r="D109" s="2">
        <v>0.032767943</v>
      </c>
      <c r="E109" s="2">
        <v>0.034319633</v>
      </c>
      <c r="Q109" s="1" t="s">
        <v>10</v>
      </c>
    </row>
    <row r="110" spans="1:17">
      <c r="A110" s="1">
        <v>108</v>
      </c>
      <c r="B110" s="2">
        <v>0</v>
      </c>
      <c r="C110" s="2">
        <v>-2.3299999999879e-7</v>
      </c>
      <c r="D110" s="2">
        <v>0</v>
      </c>
      <c r="E110" s="2">
        <v>0</v>
      </c>
      <c r="Q110" s="1" t="s">
        <v>10</v>
      </c>
    </row>
    <row r="111" spans="1:17">
      <c r="A111" s="1">
        <v>109</v>
      </c>
      <c r="B111" s="2">
        <v>0.00640043099999998</v>
      </c>
      <c r="C111" s="2">
        <v>0.00481738500000001</v>
      </c>
      <c r="D111" s="2">
        <v>0.373458984</v>
      </c>
      <c r="E111" s="2">
        <v>0.389368848</v>
      </c>
      <c r="Q111" s="1" t="s">
        <v>10</v>
      </c>
    </row>
    <row r="112" spans="1:17">
      <c r="A112" s="1">
        <v>110</v>
      </c>
      <c r="B112" s="2">
        <v>0.021189389</v>
      </c>
      <c r="C112" s="2">
        <v>0.022008311</v>
      </c>
      <c r="D112" s="2">
        <v>0.00510066599999998</v>
      </c>
      <c r="E112" s="2">
        <v>0.00517327000000001</v>
      </c>
      <c r="Q112" s="1" t="s">
        <v>10</v>
      </c>
    </row>
    <row r="113" spans="1:17">
      <c r="A113" s="1">
        <v>111</v>
      </c>
      <c r="B113" s="2">
        <v>0.023627263</v>
      </c>
      <c r="C113" s="2">
        <v>0.023209103</v>
      </c>
      <c r="D113" s="2">
        <v>0.0135948</v>
      </c>
      <c r="E113" s="2">
        <v>0.012868196</v>
      </c>
      <c r="Q113" s="1" t="s">
        <v>10</v>
      </c>
    </row>
    <row r="114" spans="1:17">
      <c r="A114" s="1">
        <v>112</v>
      </c>
      <c r="B114" s="2">
        <v>0</v>
      </c>
      <c r="C114" s="2">
        <v>0</v>
      </c>
      <c r="D114" s="2">
        <v>0</v>
      </c>
      <c r="E114" s="2">
        <v>0</v>
      </c>
      <c r="Q114" s="1" t="s">
        <v>10</v>
      </c>
    </row>
    <row r="115" spans="1:17">
      <c r="A115" s="1">
        <v>113</v>
      </c>
      <c r="B115" s="2">
        <v>0.019592795</v>
      </c>
      <c r="C115" s="2">
        <v>0.021146256</v>
      </c>
      <c r="D115" s="2">
        <v>0.011711381</v>
      </c>
      <c r="E115" s="2">
        <v>0.011201186</v>
      </c>
      <c r="Q115" s="1" t="s">
        <v>10</v>
      </c>
    </row>
    <row r="116" spans="1:17">
      <c r="A116" s="1">
        <v>114</v>
      </c>
      <c r="B116" s="2">
        <v>0.025905841</v>
      </c>
      <c r="C116" s="2">
        <v>0.025224976</v>
      </c>
      <c r="D116" s="2">
        <v>0.022668248</v>
      </c>
      <c r="E116" s="2">
        <v>0.021603503</v>
      </c>
      <c r="Q116" s="1" t="s">
        <v>10</v>
      </c>
    </row>
    <row r="117" spans="1:17">
      <c r="A117" s="1">
        <v>115</v>
      </c>
      <c r="B117" s="2">
        <v>0.027721627</v>
      </c>
      <c r="C117" s="2">
        <v>0.025294449</v>
      </c>
      <c r="D117" s="2">
        <v>0.0620762480000001</v>
      </c>
      <c r="E117" s="2">
        <v>0.060774955</v>
      </c>
      <c r="Q117" s="1" t="s">
        <v>10</v>
      </c>
    </row>
    <row r="118" spans="1:17">
      <c r="A118" s="1">
        <v>116</v>
      </c>
      <c r="B118" s="2">
        <v>0.0271127960000001</v>
      </c>
      <c r="C118" s="2">
        <v>0.027527916</v>
      </c>
      <c r="D118" s="2">
        <v>0.079759764</v>
      </c>
      <c r="E118" s="2">
        <v>0.111216132</v>
      </c>
      <c r="Q118" s="1" t="s">
        <v>10</v>
      </c>
    </row>
    <row r="119" spans="1:17">
      <c r="A119" s="1">
        <v>117</v>
      </c>
      <c r="B119" s="2">
        <v>0.02580445</v>
      </c>
      <c r="C119" s="2">
        <v>0.02530882</v>
      </c>
      <c r="D119" s="2">
        <v>0.047088187</v>
      </c>
      <c r="E119" s="2">
        <v>0.050763914</v>
      </c>
      <c r="Q119" s="1" t="s">
        <v>10</v>
      </c>
    </row>
    <row r="120" spans="1:17">
      <c r="A120" s="1">
        <v>118</v>
      </c>
      <c r="B120" s="2">
        <v>0.02417531</v>
      </c>
      <c r="C120" s="2">
        <v>0.024357853</v>
      </c>
      <c r="D120" s="2">
        <v>0.021532036</v>
      </c>
      <c r="E120" s="2">
        <v>0.018477365</v>
      </c>
      <c r="Q120" s="1" t="s">
        <v>10</v>
      </c>
    </row>
    <row r="121" spans="1:17">
      <c r="A121" s="1">
        <v>119</v>
      </c>
      <c r="B121" s="2">
        <v>0</v>
      </c>
      <c r="C121" s="2">
        <v>0</v>
      </c>
      <c r="D121" s="2">
        <v>0</v>
      </c>
      <c r="E121" s="2">
        <v>0</v>
      </c>
      <c r="Q121" s="1" t="s">
        <v>10</v>
      </c>
    </row>
    <row r="122" spans="1:17">
      <c r="A122" s="1">
        <v>120</v>
      </c>
      <c r="B122" s="2">
        <v>0.027579189</v>
      </c>
      <c r="C122" s="2">
        <v>0.02691695</v>
      </c>
      <c r="D122" s="2">
        <v>0.018215449</v>
      </c>
      <c r="E122" s="2">
        <v>0.017827689</v>
      </c>
      <c r="Q122" s="1" t="s">
        <v>10</v>
      </c>
    </row>
    <row r="123" spans="1:17">
      <c r="A123" s="1">
        <v>121</v>
      </c>
      <c r="B123" s="2">
        <v>0</v>
      </c>
      <c r="C123" s="2">
        <v>0</v>
      </c>
      <c r="D123" s="2">
        <v>0</v>
      </c>
      <c r="E123" s="2">
        <v>0</v>
      </c>
      <c r="Q123" s="1" t="s">
        <v>10</v>
      </c>
    </row>
    <row r="124" spans="1:17">
      <c r="A124" s="1">
        <v>122</v>
      </c>
      <c r="B124" s="2">
        <v>0</v>
      </c>
      <c r="C124" s="2">
        <v>0</v>
      </c>
      <c r="D124" s="2">
        <v>0</v>
      </c>
      <c r="E124" s="2">
        <v>0</v>
      </c>
      <c r="Q124" s="1" t="s">
        <v>10</v>
      </c>
    </row>
    <row r="125" spans="1:17">
      <c r="A125" s="1">
        <v>123</v>
      </c>
      <c r="B125" s="2">
        <v>0</v>
      </c>
      <c r="C125" s="2">
        <v>0</v>
      </c>
      <c r="D125" s="2">
        <v>0</v>
      </c>
      <c r="E125" s="2">
        <v>0.2794836</v>
      </c>
      <c r="Q125" s="1" t="s">
        <v>10</v>
      </c>
    </row>
    <row r="126" spans="1:17">
      <c r="A126" s="1">
        <v>124</v>
      </c>
      <c r="B126" s="2">
        <v>0.023862379</v>
      </c>
      <c r="C126" s="2">
        <v>0.022700996</v>
      </c>
      <c r="D126" s="2">
        <v>0.140789888</v>
      </c>
      <c r="E126" s="2">
        <v>0.146914976</v>
      </c>
      <c r="Q126" s="1" t="s">
        <v>10</v>
      </c>
    </row>
    <row r="127" spans="1:17">
      <c r="A127" s="1">
        <v>125</v>
      </c>
      <c r="B127" s="2">
        <v>0.028041567</v>
      </c>
      <c r="C127" s="2">
        <v>0.027282458</v>
      </c>
      <c r="D127" s="2">
        <v>0.00996695600000003</v>
      </c>
      <c r="E127" s="2">
        <v>0.00924744499999997</v>
      </c>
      <c r="Q127" s="1" t="s">
        <v>10</v>
      </c>
    </row>
    <row r="128" spans="1:17">
      <c r="A128" s="1">
        <v>126</v>
      </c>
      <c r="B128" s="2">
        <v>0.0240297</v>
      </c>
      <c r="C128" s="2">
        <v>0.021948373</v>
      </c>
      <c r="D128" s="2">
        <v>0.07904796</v>
      </c>
      <c r="E128" s="2">
        <v>0.096268498</v>
      </c>
      <c r="Q128" s="1" t="s">
        <v>10</v>
      </c>
    </row>
    <row r="129" spans="1:17">
      <c r="A129" s="1">
        <v>127</v>
      </c>
      <c r="B129" s="2">
        <v>0.024074213</v>
      </c>
      <c r="C129" s="2">
        <v>0.024365217</v>
      </c>
      <c r="D129" s="2">
        <v>0.015093947</v>
      </c>
      <c r="E129" s="2">
        <v>0.010492383</v>
      </c>
      <c r="Q129" s="1" t="s">
        <v>10</v>
      </c>
    </row>
    <row r="130" spans="1:17">
      <c r="A130" s="1">
        <v>128</v>
      </c>
      <c r="B130" s="2">
        <v>0.022267788</v>
      </c>
      <c r="C130" s="2">
        <v>0.024188362</v>
      </c>
      <c r="D130" s="2">
        <v>0.011140498</v>
      </c>
      <c r="E130" s="2">
        <v>0.00985169499999999</v>
      </c>
      <c r="Q130" s="1" t="s">
        <v>10</v>
      </c>
    </row>
    <row r="131" spans="1:17">
      <c r="A131" s="1">
        <v>129</v>
      </c>
      <c r="B131" s="2">
        <v>0.027518097</v>
      </c>
      <c r="C131" s="2">
        <v>0.027243225</v>
      </c>
      <c r="D131" s="2">
        <v>0.019704657</v>
      </c>
      <c r="E131" s="2">
        <v>0.018087852</v>
      </c>
      <c r="Q131" s="1" t="s">
        <v>10</v>
      </c>
    </row>
    <row r="132" spans="1:17">
      <c r="A132" s="1">
        <v>130</v>
      </c>
      <c r="B132" s="2">
        <v>0.026279892</v>
      </c>
      <c r="C132" s="2">
        <v>0.026052628</v>
      </c>
      <c r="D132" s="2">
        <v>0.011986458</v>
      </c>
      <c r="E132" s="2">
        <v>0.010404408</v>
      </c>
      <c r="Q132" s="1" t="s">
        <v>10</v>
      </c>
    </row>
    <row r="133" spans="1:17">
      <c r="A133" s="1">
        <v>131</v>
      </c>
      <c r="B133" s="2">
        <v>0.02575874</v>
      </c>
      <c r="C133" s="2">
        <v>0.025508243</v>
      </c>
      <c r="D133" s="2">
        <v>0.021707633</v>
      </c>
      <c r="E133" s="2">
        <v>0.020467774</v>
      </c>
      <c r="Q133" s="1" t="s">
        <v>10</v>
      </c>
    </row>
    <row r="134" spans="1:17">
      <c r="A134" s="1">
        <v>132</v>
      </c>
      <c r="B134" s="2">
        <v>0.024706689</v>
      </c>
      <c r="C134" s="2">
        <v>0.024814663</v>
      </c>
      <c r="D134" s="2">
        <v>0.028381825</v>
      </c>
      <c r="E134" s="2">
        <v>0.027076817</v>
      </c>
      <c r="Q134" s="1" t="s">
        <v>10</v>
      </c>
    </row>
    <row r="135" spans="1:17">
      <c r="A135" s="1">
        <v>133</v>
      </c>
      <c r="B135" s="2">
        <v>0.024438906</v>
      </c>
      <c r="C135" s="2">
        <v>0.024597076</v>
      </c>
      <c r="D135" s="2">
        <v>0.013126343</v>
      </c>
      <c r="E135" s="2">
        <v>0.010839058</v>
      </c>
      <c r="Q135" s="1" t="s">
        <v>10</v>
      </c>
    </row>
    <row r="136" spans="1:17">
      <c r="A136" s="1">
        <v>134</v>
      </c>
      <c r="B136" s="2">
        <v>0.024267972</v>
      </c>
      <c r="C136" s="2">
        <v>0.024281139</v>
      </c>
      <c r="D136" s="2">
        <v>0.021030599</v>
      </c>
      <c r="E136" s="2">
        <v>0.020495708</v>
      </c>
      <c r="Q136" s="1" t="s">
        <v>10</v>
      </c>
    </row>
    <row r="137" spans="1:17">
      <c r="A137" s="1">
        <v>135</v>
      </c>
      <c r="B137" s="2">
        <v>0.025827104</v>
      </c>
      <c r="C137" s="2">
        <v>0.025629869</v>
      </c>
      <c r="D137" s="2">
        <v>0.016571214</v>
      </c>
      <c r="E137" s="2">
        <v>0.014115179</v>
      </c>
      <c r="Q137" s="1" t="s">
        <v>10</v>
      </c>
    </row>
    <row r="138" spans="1:17">
      <c r="A138" s="1">
        <v>136</v>
      </c>
      <c r="B138" s="2">
        <v>0.026353202</v>
      </c>
      <c r="C138" s="2">
        <v>0.025855283</v>
      </c>
      <c r="D138" s="2">
        <v>0.0398736770000001</v>
      </c>
      <c r="E138" s="2">
        <v>0.038649849</v>
      </c>
      <c r="Q138" s="1" t="s">
        <v>10</v>
      </c>
    </row>
    <row r="139" spans="1:17">
      <c r="A139" s="1">
        <v>137</v>
      </c>
      <c r="B139" s="2">
        <v>0.02684312</v>
      </c>
      <c r="C139" s="2">
        <v>0.026589215</v>
      </c>
      <c r="D139" s="2">
        <v>0.020895083</v>
      </c>
      <c r="E139" s="2">
        <v>0.019588771</v>
      </c>
      <c r="Q139" s="1" t="s">
        <v>10</v>
      </c>
    </row>
    <row r="140" spans="1:17">
      <c r="A140" s="1">
        <v>138</v>
      </c>
      <c r="B140" s="2">
        <v>0.019223616</v>
      </c>
      <c r="C140" s="2">
        <v>0.020655842</v>
      </c>
      <c r="D140" s="2">
        <v>0.030217701</v>
      </c>
      <c r="E140" s="2">
        <v>0.034698467</v>
      </c>
      <c r="Q140" s="1" t="s">
        <v>10</v>
      </c>
    </row>
    <row r="141" spans="1:17">
      <c r="A141" s="1">
        <v>139</v>
      </c>
      <c r="B141" s="2">
        <v>0</v>
      </c>
      <c r="C141" s="2">
        <v>0</v>
      </c>
      <c r="D141" s="2">
        <v>0</v>
      </c>
      <c r="E141" s="2">
        <v>0</v>
      </c>
      <c r="Q141" s="1" t="s">
        <v>10</v>
      </c>
    </row>
    <row r="142" spans="1:17">
      <c r="A142" s="1">
        <v>140</v>
      </c>
      <c r="B142" s="2">
        <v>0.027011537</v>
      </c>
      <c r="C142" s="2">
        <v>0.02620864</v>
      </c>
      <c r="D142" s="2">
        <v>0.057115553</v>
      </c>
      <c r="E142" s="2">
        <v>0.057568475</v>
      </c>
      <c r="Q142" s="1" t="s">
        <v>10</v>
      </c>
    </row>
    <row r="143" spans="1:17">
      <c r="A143" s="1">
        <v>141</v>
      </c>
      <c r="B143" s="2">
        <v>0.025838237</v>
      </c>
      <c r="C143" s="2">
        <v>0.025063021</v>
      </c>
      <c r="D143" s="2">
        <v>0.067015684</v>
      </c>
      <c r="E143" s="2">
        <v>0.067900578</v>
      </c>
      <c r="Q143" s="1" t="s">
        <v>10</v>
      </c>
    </row>
    <row r="144" spans="1:17">
      <c r="A144" s="1">
        <v>142</v>
      </c>
      <c r="B144" s="2">
        <v>0.00996942099999998</v>
      </c>
      <c r="C144" s="2">
        <v>0.012894118</v>
      </c>
      <c r="D144" s="2">
        <v>0.022160256</v>
      </c>
      <c r="E144" s="2">
        <v>0.092908902</v>
      </c>
      <c r="Q144" s="1" t="s">
        <v>10</v>
      </c>
    </row>
    <row r="145" spans="1:17">
      <c r="A145" s="1">
        <v>143</v>
      </c>
      <c r="B145" s="2">
        <v>0.029433228</v>
      </c>
      <c r="C145" s="2">
        <v>0.027845375</v>
      </c>
      <c r="D145" s="2">
        <v>0.023427529</v>
      </c>
      <c r="E145" s="2">
        <v>0.021926675</v>
      </c>
      <c r="Q145" s="1" t="s">
        <v>10</v>
      </c>
    </row>
    <row r="146" spans="1:17">
      <c r="A146" s="1">
        <v>144</v>
      </c>
      <c r="B146" s="2">
        <v>0.023930498</v>
      </c>
      <c r="C146" s="2">
        <v>0.023907133</v>
      </c>
      <c r="D146" s="2">
        <v>0.00972991300000003</v>
      </c>
      <c r="E146" s="2">
        <v>0.008243677</v>
      </c>
      <c r="Q146" s="1" t="s">
        <v>10</v>
      </c>
    </row>
    <row r="147" spans="1:17">
      <c r="A147" s="1">
        <v>145</v>
      </c>
      <c r="B147" s="2">
        <v>0.019252433</v>
      </c>
      <c r="C147" s="2">
        <v>0.023016353</v>
      </c>
      <c r="D147" s="2">
        <v>0.01797602</v>
      </c>
      <c r="E147" s="2">
        <v>0.021486198</v>
      </c>
      <c r="Q147" s="1" t="s">
        <v>10</v>
      </c>
    </row>
    <row r="148" spans="1:17">
      <c r="A148" s="1">
        <v>146</v>
      </c>
      <c r="B148" s="2">
        <v>0.024338145</v>
      </c>
      <c r="C148" s="2">
        <v>0.024041051</v>
      </c>
      <c r="D148" s="2">
        <v>0.018957935</v>
      </c>
      <c r="E148" s="2">
        <v>0.017618575</v>
      </c>
      <c r="Q148" s="1" t="s">
        <v>10</v>
      </c>
    </row>
    <row r="149" spans="1:17">
      <c r="A149" s="1">
        <v>147</v>
      </c>
      <c r="B149" s="2">
        <v>0.028011512</v>
      </c>
      <c r="C149" s="2">
        <v>0.026779029</v>
      </c>
      <c r="D149" s="2">
        <v>0.012397534</v>
      </c>
      <c r="E149" s="2">
        <v>0.011454482</v>
      </c>
      <c r="Q149" s="1" t="s">
        <v>10</v>
      </c>
    </row>
    <row r="150" spans="1:17">
      <c r="A150" s="1">
        <v>148</v>
      </c>
      <c r="B150" s="2">
        <v>0.027998095</v>
      </c>
      <c r="C150" s="2">
        <v>0.022322117</v>
      </c>
      <c r="D150" s="2">
        <v>0.00399824599999998</v>
      </c>
      <c r="E150" s="2">
        <v>0.00343739599999993</v>
      </c>
      <c r="Q150" s="1" t="s">
        <v>10</v>
      </c>
    </row>
    <row r="151" spans="1:17">
      <c r="A151" s="1">
        <v>149</v>
      </c>
      <c r="B151" s="2">
        <v>0.024081903</v>
      </c>
      <c r="C151" s="2">
        <v>0.02419795</v>
      </c>
      <c r="D151" s="2">
        <v>0.02960723</v>
      </c>
      <c r="E151" s="2">
        <v>0.029858644</v>
      </c>
      <c r="Q151" s="1" t="s">
        <v>10</v>
      </c>
    </row>
    <row r="152" spans="1:17">
      <c r="A152" s="1">
        <v>150</v>
      </c>
      <c r="B152" s="2">
        <v>0.028095055</v>
      </c>
      <c r="C152" s="2">
        <v>0.027318722</v>
      </c>
      <c r="D152" s="2">
        <v>0.010981973</v>
      </c>
      <c r="E152" s="2">
        <v>0.010529991</v>
      </c>
      <c r="Q152" s="1" t="s">
        <v>10</v>
      </c>
    </row>
    <row r="153" spans="1:17">
      <c r="A153" s="1">
        <v>151</v>
      </c>
      <c r="B153" s="2">
        <v>0</v>
      </c>
      <c r="C153" s="2">
        <v>0</v>
      </c>
      <c r="D153" s="2">
        <v>0</v>
      </c>
      <c r="E153" s="2">
        <v>0</v>
      </c>
      <c r="Q153" s="1" t="s">
        <v>10</v>
      </c>
    </row>
    <row r="154" spans="1:17">
      <c r="A154" s="1">
        <v>152</v>
      </c>
      <c r="B154" s="2">
        <v>0.014053672</v>
      </c>
      <c r="C154" s="2">
        <v>0.016385893</v>
      </c>
      <c r="D154" s="2">
        <v>0.03192001</v>
      </c>
      <c r="E154" s="2">
        <v>0.060644974</v>
      </c>
      <c r="Q154" s="1" t="s">
        <v>10</v>
      </c>
    </row>
    <row r="155" spans="1:17">
      <c r="A155" s="1">
        <v>153</v>
      </c>
      <c r="B155" s="2">
        <v>0.024185739</v>
      </c>
      <c r="C155" s="2">
        <v>0.023195905</v>
      </c>
      <c r="D155" s="2">
        <v>0.076919545</v>
      </c>
      <c r="E155" s="2">
        <v>0.078968213</v>
      </c>
      <c r="Q155" s="1" t="s">
        <v>10</v>
      </c>
    </row>
    <row r="156" spans="1:17">
      <c r="A156" s="1">
        <v>154</v>
      </c>
      <c r="B156" s="2">
        <v>0.025981502</v>
      </c>
      <c r="C156" s="2">
        <v>0.024862083</v>
      </c>
      <c r="D156" s="2">
        <v>0.020036038</v>
      </c>
      <c r="E156" s="2">
        <v>0.019160419</v>
      </c>
      <c r="Q156" s="1" t="s">
        <v>10</v>
      </c>
    </row>
    <row r="157" spans="1:17">
      <c r="A157" s="1">
        <v>155</v>
      </c>
      <c r="B157" s="2">
        <v>0.019986527</v>
      </c>
      <c r="C157" s="2">
        <v>0.017683385</v>
      </c>
      <c r="D157" s="2">
        <v>0.104075165</v>
      </c>
      <c r="E157" s="2">
        <v>0.100461318</v>
      </c>
      <c r="Q157" s="1" t="s">
        <v>10</v>
      </c>
    </row>
    <row r="158" spans="1:17">
      <c r="A158" s="1">
        <v>156</v>
      </c>
      <c r="B158" s="2">
        <v>0.017896617</v>
      </c>
      <c r="C158" s="2">
        <v>0.013716741</v>
      </c>
      <c r="D158" s="2">
        <v>0.208410434</v>
      </c>
      <c r="E158" s="2">
        <v>0.21001042</v>
      </c>
      <c r="Q158" s="1" t="s">
        <v>10</v>
      </c>
    </row>
    <row r="159" spans="1:17">
      <c r="A159" s="1">
        <v>157</v>
      </c>
      <c r="B159" s="2">
        <v>0</v>
      </c>
      <c r="C159" s="2">
        <v>0</v>
      </c>
      <c r="D159" s="2">
        <v>0</v>
      </c>
      <c r="E159" s="2">
        <v>0</v>
      </c>
      <c r="Q159" s="1" t="s">
        <v>10</v>
      </c>
    </row>
    <row r="160" spans="1:17">
      <c r="A160" s="1">
        <v>158</v>
      </c>
      <c r="B160" s="2">
        <v>0.024849612</v>
      </c>
      <c r="C160" s="2">
        <v>0.025263597</v>
      </c>
      <c r="D160" s="2">
        <v>0.028118545</v>
      </c>
      <c r="E160" s="2">
        <v>0.026655853</v>
      </c>
      <c r="Q160" s="1" t="s">
        <v>10</v>
      </c>
    </row>
    <row r="161" spans="1:17">
      <c r="A161" s="1">
        <v>159</v>
      </c>
      <c r="B161" s="2">
        <v>0</v>
      </c>
      <c r="C161" s="2">
        <v>0</v>
      </c>
      <c r="D161" s="2">
        <v>0</v>
      </c>
      <c r="E161" s="2">
        <v>0</v>
      </c>
      <c r="Q161" s="1" t="s">
        <v>10</v>
      </c>
    </row>
    <row r="162" spans="1:17">
      <c r="A162" s="1">
        <v>160</v>
      </c>
      <c r="B162" s="2">
        <v>0.026882003</v>
      </c>
      <c r="C162" s="2">
        <v>0.026301581</v>
      </c>
      <c r="D162" s="2">
        <v>0.00925841100000002</v>
      </c>
      <c r="E162" s="2">
        <v>0.00800232400000001</v>
      </c>
      <c r="Q162" s="1" t="s">
        <v>10</v>
      </c>
    </row>
    <row r="163" spans="1:17">
      <c r="A163" s="1">
        <v>161</v>
      </c>
      <c r="B163" s="2">
        <v>0.022789413</v>
      </c>
      <c r="C163" s="2">
        <v>0.021860407</v>
      </c>
      <c r="D163" s="2">
        <v>0.00806948499999999</v>
      </c>
      <c r="E163" s="2">
        <v>0.00751335000000003</v>
      </c>
      <c r="Q163" s="1" t="s">
        <v>10</v>
      </c>
    </row>
    <row r="164" spans="1:17">
      <c r="A164" s="1">
        <v>162</v>
      </c>
      <c r="B164" s="2">
        <v>0.018352603</v>
      </c>
      <c r="C164" s="2">
        <v>0.015531539</v>
      </c>
      <c r="D164" s="2">
        <v>0.078407699</v>
      </c>
      <c r="E164" s="2">
        <v>0.0784864690000001</v>
      </c>
      <c r="Q164" s="1" t="s">
        <v>10</v>
      </c>
    </row>
    <row r="165" spans="1:17">
      <c r="A165" s="1">
        <v>163</v>
      </c>
      <c r="B165" s="2">
        <v>0</v>
      </c>
      <c r="C165" s="2">
        <v>0</v>
      </c>
      <c r="D165" s="2">
        <v>0</v>
      </c>
      <c r="E165" s="2">
        <v>0</v>
      </c>
      <c r="Q165" s="1" t="s">
        <v>10</v>
      </c>
    </row>
    <row r="166" spans="1:17">
      <c r="A166" s="1">
        <v>164</v>
      </c>
      <c r="B166" s="2">
        <v>0.019842791</v>
      </c>
      <c r="C166" s="2">
        <v>0.017636028</v>
      </c>
      <c r="D166" s="2">
        <v>0.160001927</v>
      </c>
      <c r="E166" s="2">
        <v>0.183072021</v>
      </c>
      <c r="Q166" s="1" t="s">
        <v>10</v>
      </c>
    </row>
    <row r="167" spans="1:17">
      <c r="A167" s="1">
        <v>165</v>
      </c>
      <c r="B167" s="2">
        <v>0.023242719</v>
      </c>
      <c r="C167" s="2">
        <v>0.022995699</v>
      </c>
      <c r="D167" s="2">
        <v>0.024754203</v>
      </c>
      <c r="E167" s="2">
        <v>0.021624465</v>
      </c>
      <c r="Q167" s="1" t="s">
        <v>10</v>
      </c>
    </row>
    <row r="168" spans="1:17">
      <c r="A168" s="1">
        <v>166</v>
      </c>
      <c r="B168" s="2">
        <v>0.028821173</v>
      </c>
      <c r="C168" s="2">
        <v>0.028262603</v>
      </c>
      <c r="D168" s="2">
        <v>0.060735537</v>
      </c>
      <c r="E168" s="2">
        <v>0.059021198</v>
      </c>
      <c r="Q168" s="1" t="s">
        <v>10</v>
      </c>
    </row>
    <row r="169" spans="1:17">
      <c r="A169" s="1">
        <v>167</v>
      </c>
      <c r="B169" s="2">
        <v>0.028307294</v>
      </c>
      <c r="C169" s="2">
        <v>0.026827748</v>
      </c>
      <c r="D169" s="2">
        <v>0.019449383</v>
      </c>
      <c r="E169" s="2">
        <v>0.018341184</v>
      </c>
      <c r="Q169" s="1" t="s">
        <v>10</v>
      </c>
    </row>
    <row r="170" spans="1:17">
      <c r="A170" s="1">
        <v>168</v>
      </c>
      <c r="B170" s="2">
        <v>0.028851291</v>
      </c>
      <c r="C170" s="2">
        <v>0.027854105</v>
      </c>
      <c r="D170" s="2">
        <v>0.011117415</v>
      </c>
      <c r="E170" s="2">
        <v>0.010466853</v>
      </c>
      <c r="Q170" s="1" t="s">
        <v>10</v>
      </c>
    </row>
    <row r="171" spans="1:17">
      <c r="A171" s="1">
        <v>169</v>
      </c>
      <c r="B171" s="2">
        <v>0.027176006</v>
      </c>
      <c r="C171" s="2">
        <v>0.027127578</v>
      </c>
      <c r="D171" s="2">
        <v>0.054894553</v>
      </c>
      <c r="E171" s="2">
        <v>0.054430939</v>
      </c>
      <c r="Q171" s="1" t="s">
        <v>10</v>
      </c>
    </row>
    <row r="172" spans="1:17">
      <c r="A172" s="1">
        <v>170</v>
      </c>
      <c r="B172" s="2">
        <v>0.004152071</v>
      </c>
      <c r="C172" s="2">
        <v>0.003621055</v>
      </c>
      <c r="D172" s="2">
        <v>0.02522713</v>
      </c>
      <c r="E172" s="2">
        <v>0.09388978</v>
      </c>
      <c r="Q172" s="1" t="s">
        <v>10</v>
      </c>
    </row>
    <row r="173" spans="1:17">
      <c r="A173" s="1">
        <v>171</v>
      </c>
      <c r="B173" s="2">
        <v>0</v>
      </c>
      <c r="C173" s="2">
        <v>0</v>
      </c>
      <c r="D173" s="2">
        <v>0</v>
      </c>
      <c r="E173" s="2">
        <v>0</v>
      </c>
      <c r="Q173" s="1" t="s">
        <v>10</v>
      </c>
    </row>
    <row r="174" spans="1:17">
      <c r="A174" s="1">
        <v>172</v>
      </c>
      <c r="B174" s="2">
        <v>0.026068398</v>
      </c>
      <c r="C174" s="2">
        <v>0.025434721</v>
      </c>
      <c r="D174" s="2">
        <v>0.011883277</v>
      </c>
      <c r="E174" s="2">
        <v>0.011073369</v>
      </c>
      <c r="Q174" s="1" t="s">
        <v>10</v>
      </c>
    </row>
    <row r="175" spans="1:17">
      <c r="A175" s="1">
        <v>173</v>
      </c>
      <c r="B175" s="2">
        <v>0.021961104</v>
      </c>
      <c r="C175" s="2">
        <v>0.022691906</v>
      </c>
      <c r="D175" s="2">
        <v>0.016987054</v>
      </c>
      <c r="E175" s="2">
        <v>0.014675283</v>
      </c>
      <c r="Q175" s="1" t="s">
        <v>10</v>
      </c>
    </row>
    <row r="176" spans="1:17">
      <c r="A176" s="1">
        <v>174</v>
      </c>
      <c r="B176" s="2">
        <v>0.025329308</v>
      </c>
      <c r="C176" s="2">
        <v>0.025428949</v>
      </c>
      <c r="D176" s="2">
        <v>0.00513728499999999</v>
      </c>
      <c r="E176" s="2">
        <v>0.00402385500000002</v>
      </c>
      <c r="Q176" s="1" t="s">
        <v>10</v>
      </c>
    </row>
    <row r="177" spans="1:17">
      <c r="A177" s="1">
        <v>175</v>
      </c>
      <c r="B177" s="2">
        <v>0.023895102</v>
      </c>
      <c r="C177" s="2">
        <v>0.023706438</v>
      </c>
      <c r="D177" s="2">
        <v>0.00767330399999999</v>
      </c>
      <c r="E177" s="2">
        <v>0.00656741100000002</v>
      </c>
      <c r="Q177" s="1" t="s">
        <v>10</v>
      </c>
    </row>
    <row r="178" spans="1:17">
      <c r="A178" s="1">
        <v>176</v>
      </c>
      <c r="B178" s="2">
        <v>0.020790001</v>
      </c>
      <c r="C178" s="2">
        <v>0.020128537</v>
      </c>
      <c r="D178" s="2">
        <v>0.058216663</v>
      </c>
      <c r="E178" s="2">
        <v>0.056166125</v>
      </c>
      <c r="Q178" s="1" t="s">
        <v>10</v>
      </c>
    </row>
    <row r="179" spans="1:17">
      <c r="A179" s="1">
        <v>177</v>
      </c>
      <c r="B179" s="2">
        <v>0.022197004</v>
      </c>
      <c r="C179" s="2">
        <v>0.022374673</v>
      </c>
      <c r="D179" s="2">
        <v>0.014389972</v>
      </c>
      <c r="E179" s="2">
        <v>0.011685708</v>
      </c>
      <c r="Q179" s="1" t="s">
        <v>10</v>
      </c>
    </row>
    <row r="180" spans="1:17">
      <c r="A180" s="1">
        <v>178</v>
      </c>
      <c r="B180" s="2">
        <v>0.024863421</v>
      </c>
      <c r="C180" s="2">
        <v>0.024689531</v>
      </c>
      <c r="D180" s="2">
        <v>0.00561643199999995</v>
      </c>
      <c r="E180" s="2">
        <v>0.00430709299999998</v>
      </c>
      <c r="Q180" s="1" t="s">
        <v>10</v>
      </c>
    </row>
    <row r="181" spans="1:17">
      <c r="A181" s="1">
        <v>179</v>
      </c>
      <c r="B181" s="2">
        <v>0.026016727</v>
      </c>
      <c r="C181" s="2">
        <v>0.025649661</v>
      </c>
      <c r="D181" s="2">
        <v>0.014844718</v>
      </c>
      <c r="E181" s="2">
        <v>0.012790412</v>
      </c>
      <c r="Q181" s="1" t="s">
        <v>10</v>
      </c>
    </row>
    <row r="182" spans="1:17">
      <c r="A182" s="1">
        <v>180</v>
      </c>
      <c r="B182" s="2">
        <v>0.02559654</v>
      </c>
      <c r="C182" s="2">
        <v>0.026070848</v>
      </c>
      <c r="D182" s="2">
        <v>0.016694153</v>
      </c>
      <c r="E182" s="2">
        <v>0.010667594</v>
      </c>
      <c r="Q182" s="1" t="s">
        <v>10</v>
      </c>
    </row>
    <row r="183" spans="1:17">
      <c r="A183" s="1">
        <v>181</v>
      </c>
      <c r="B183" s="2">
        <v>0.024045261</v>
      </c>
      <c r="C183" s="2">
        <v>0.023552943</v>
      </c>
      <c r="D183" s="2">
        <v>0.00738306899999996</v>
      </c>
      <c r="E183" s="2">
        <v>0.00667975200000004</v>
      </c>
      <c r="Q183" s="1" t="s">
        <v>10</v>
      </c>
    </row>
    <row r="184" spans="1:17">
      <c r="A184" s="1">
        <v>182</v>
      </c>
      <c r="B184" s="2">
        <v>0.00382287000000001</v>
      </c>
      <c r="C184" s="2">
        <v>0.028753031</v>
      </c>
      <c r="D184" s="2">
        <v>0.00362009600000002</v>
      </c>
      <c r="E184" s="2">
        <v>0.031156327</v>
      </c>
      <c r="Q184" s="1" t="s">
        <v>10</v>
      </c>
    </row>
    <row r="185" spans="1:17">
      <c r="A185" s="1">
        <v>183</v>
      </c>
      <c r="B185" s="2">
        <v>0.025502677</v>
      </c>
      <c r="C185" s="2">
        <v>0.025233436</v>
      </c>
      <c r="D185" s="2">
        <v>0.00382442599999999</v>
      </c>
      <c r="E185" s="2">
        <v>0.00335510700000002</v>
      </c>
      <c r="Q185" s="1" t="s">
        <v>10</v>
      </c>
    </row>
    <row r="186" spans="1:17">
      <c r="A186" s="1">
        <v>184</v>
      </c>
      <c r="B186" s="2">
        <v>0.025927376</v>
      </c>
      <c r="C186" s="2">
        <v>0.025732656</v>
      </c>
      <c r="D186" s="2">
        <v>0.013308234</v>
      </c>
      <c r="E186" s="2">
        <v>0.011635104</v>
      </c>
      <c r="Q186" s="1" t="s">
        <v>10</v>
      </c>
    </row>
    <row r="187" spans="1:17">
      <c r="A187" s="1">
        <v>185</v>
      </c>
      <c r="B187" s="2">
        <v>0.024559767</v>
      </c>
      <c r="C187" s="2">
        <v>0.02444845</v>
      </c>
      <c r="D187" s="2">
        <v>0.01108807</v>
      </c>
      <c r="E187" s="2">
        <v>0.009405518</v>
      </c>
      <c r="Q187" s="1" t="s">
        <v>10</v>
      </c>
    </row>
    <row r="188" spans="1:17">
      <c r="A188" s="1">
        <v>186</v>
      </c>
      <c r="B188" s="2">
        <v>0.023757458</v>
      </c>
      <c r="C188" s="2">
        <v>0.023522912</v>
      </c>
      <c r="D188" s="2">
        <v>0.006013518</v>
      </c>
      <c r="E188" s="2">
        <v>0.00552280800000005</v>
      </c>
      <c r="Q188" s="1" t="s">
        <v>10</v>
      </c>
    </row>
    <row r="189" spans="1:17">
      <c r="A189" s="1">
        <v>187</v>
      </c>
      <c r="B189" s="2">
        <v>0.023056739</v>
      </c>
      <c r="C189" s="2">
        <v>0.022571866</v>
      </c>
      <c r="D189" s="2">
        <v>0.00834491300000001</v>
      </c>
      <c r="E189" s="2">
        <v>0.00722805599999998</v>
      </c>
      <c r="Q189" s="1" t="s">
        <v>10</v>
      </c>
    </row>
    <row r="190" spans="1:17">
      <c r="A190" s="1">
        <v>188</v>
      </c>
      <c r="B190" s="2">
        <v>0.02244481</v>
      </c>
      <c r="C190" s="2">
        <v>0.022056524</v>
      </c>
      <c r="D190" s="2">
        <v>0.00708379999999997</v>
      </c>
      <c r="E190" s="2">
        <v>0.00676115999999999</v>
      </c>
      <c r="Q190" s="1" t="s">
        <v>10</v>
      </c>
    </row>
    <row r="191" spans="1:17">
      <c r="A191" s="1">
        <v>189</v>
      </c>
      <c r="B191" s="2">
        <v>0.023822447</v>
      </c>
      <c r="C191" s="2">
        <v>0.023421536</v>
      </c>
      <c r="D191" s="2">
        <v>0.014421364</v>
      </c>
      <c r="E191" s="2">
        <v>0.013935734</v>
      </c>
      <c r="Q191" s="1" t="s">
        <v>10</v>
      </c>
    </row>
    <row r="192" spans="1:17">
      <c r="A192" s="1">
        <v>190</v>
      </c>
      <c r="B192" s="2">
        <v>0.022910466</v>
      </c>
      <c r="C192" s="2">
        <v>0.022693782</v>
      </c>
      <c r="D192" s="2">
        <v>0.00429148000000001</v>
      </c>
      <c r="E192" s="2">
        <v>0.00365926999999999</v>
      </c>
      <c r="Q192" s="1" t="s">
        <v>10</v>
      </c>
    </row>
    <row r="193" spans="1:17">
      <c r="A193" s="1">
        <v>191</v>
      </c>
      <c r="B193" s="2">
        <v>0.024807561</v>
      </c>
      <c r="C193" s="2">
        <v>0.024666267</v>
      </c>
      <c r="D193" s="2">
        <v>0.00633622900000003</v>
      </c>
      <c r="E193" s="2">
        <v>0.00461617800000003</v>
      </c>
      <c r="Q193" s="1" t="s">
        <v>10</v>
      </c>
    </row>
    <row r="194" spans="1:17">
      <c r="A194" s="1">
        <v>192</v>
      </c>
      <c r="B194" s="2">
        <v>0.023310794</v>
      </c>
      <c r="C194" s="2">
        <v>0.022263208</v>
      </c>
      <c r="D194" s="2">
        <v>0.00424202899999998</v>
      </c>
      <c r="E194" s="2">
        <v>0.003943117</v>
      </c>
      <c r="Q194" s="1" t="s">
        <v>10</v>
      </c>
    </row>
    <row r="195" spans="1:17">
      <c r="A195" s="1">
        <v>193</v>
      </c>
      <c r="B195" s="2">
        <v>0.022672525</v>
      </c>
      <c r="C195" s="2">
        <v>0.02139916</v>
      </c>
      <c r="D195" s="2">
        <v>0.016959192</v>
      </c>
      <c r="E195" s="2">
        <v>0.016174074</v>
      </c>
      <c r="Q195" s="1" t="s">
        <v>10</v>
      </c>
    </row>
    <row r="196" spans="1:17">
      <c r="A196" s="1">
        <v>194</v>
      </c>
      <c r="B196" s="2">
        <v>0.023110832</v>
      </c>
      <c r="C196" s="2">
        <v>0.022433951</v>
      </c>
      <c r="D196" s="2">
        <v>0.03017892</v>
      </c>
      <c r="E196" s="2">
        <v>0.028175007</v>
      </c>
      <c r="Q196" s="1" t="s">
        <v>10</v>
      </c>
    </row>
    <row r="197" spans="1:17">
      <c r="A197" s="1">
        <v>195</v>
      </c>
      <c r="B197" s="2">
        <v>0.023049896</v>
      </c>
      <c r="C197" s="2">
        <v>0.022689919</v>
      </c>
      <c r="D197" s="2">
        <v>0.00762464800000001</v>
      </c>
      <c r="E197" s="2">
        <v>0.00606275500000003</v>
      </c>
      <c r="Q197" s="1" t="s">
        <v>10</v>
      </c>
    </row>
    <row r="198" spans="1:17">
      <c r="A198" s="1">
        <v>196</v>
      </c>
      <c r="B198" s="2">
        <v>0.023023627</v>
      </c>
      <c r="C198" s="2">
        <v>0.022536697</v>
      </c>
      <c r="D198" s="2">
        <v>0.00511579100000004</v>
      </c>
      <c r="E198" s="2">
        <v>0.00478314600000002</v>
      </c>
      <c r="Q198" s="1" t="s">
        <v>10</v>
      </c>
    </row>
    <row r="199" spans="1:17">
      <c r="A199" s="1">
        <v>197</v>
      </c>
      <c r="B199" s="2">
        <v>0.024641829</v>
      </c>
      <c r="C199" s="2">
        <v>0.024147571</v>
      </c>
      <c r="D199" s="2">
        <v>0.006684409</v>
      </c>
      <c r="E199" s="2">
        <v>0.00613749800000002</v>
      </c>
      <c r="Q199" s="1" t="s">
        <v>10</v>
      </c>
    </row>
    <row r="200" spans="1:17">
      <c r="A200" s="1">
        <v>198</v>
      </c>
      <c r="B200" s="2">
        <v>0.023324892</v>
      </c>
      <c r="C200" s="2">
        <v>0.023188433</v>
      </c>
      <c r="D200" s="2">
        <v>0.007253966</v>
      </c>
      <c r="E200" s="2">
        <v>0.00575016</v>
      </c>
      <c r="Q200" s="1" t="s">
        <v>10</v>
      </c>
    </row>
    <row r="201" spans="1:17">
      <c r="A201" s="1">
        <v>199</v>
      </c>
      <c r="B201" s="2">
        <v>0.024513526</v>
      </c>
      <c r="C201" s="2">
        <v>0.023734646</v>
      </c>
      <c r="D201" s="2">
        <v>0.00548521200000002</v>
      </c>
      <c r="E201" s="2">
        <v>0.00483002300000002</v>
      </c>
      <c r="Q201" s="1" t="s">
        <v>10</v>
      </c>
    </row>
    <row r="202" spans="1:17">
      <c r="A202" s="1">
        <v>200</v>
      </c>
      <c r="B202" s="2">
        <v>0.023325152</v>
      </c>
      <c r="C202" s="2">
        <v>0.023516255</v>
      </c>
      <c r="D202" s="2">
        <v>0.027172074</v>
      </c>
      <c r="E202" s="2">
        <v>0.024589961</v>
      </c>
      <c r="Q202" s="1" t="s">
        <v>10</v>
      </c>
    </row>
    <row r="203" spans="1:17">
      <c r="A203" s="1">
        <v>201</v>
      </c>
      <c r="B203" s="2">
        <v>0.025350429</v>
      </c>
      <c r="C203" s="2">
        <v>0.025421025</v>
      </c>
      <c r="D203" s="2">
        <v>0.016907782</v>
      </c>
      <c r="E203" s="2">
        <v>0.014613243</v>
      </c>
      <c r="Q203" s="1" t="s">
        <v>10</v>
      </c>
    </row>
    <row r="204" spans="1:17">
      <c r="A204" s="1">
        <v>202</v>
      </c>
      <c r="B204" s="2">
        <v>0</v>
      </c>
      <c r="C204" s="2">
        <v>0</v>
      </c>
      <c r="D204" s="2">
        <v>0</v>
      </c>
      <c r="E204" s="2">
        <v>0</v>
      </c>
      <c r="Q204" s="1" t="s">
        <v>10</v>
      </c>
    </row>
    <row r="205" spans="1:17">
      <c r="A205" s="1">
        <v>203</v>
      </c>
      <c r="B205" s="2">
        <v>0.022174657</v>
      </c>
      <c r="C205" s="2">
        <v>0.022319692</v>
      </c>
      <c r="D205" s="2">
        <v>0.007766141</v>
      </c>
      <c r="E205" s="2">
        <v>0.006111539</v>
      </c>
      <c r="Q205" s="1" t="s">
        <v>10</v>
      </c>
    </row>
    <row r="206" spans="1:17">
      <c r="A206" s="1">
        <v>204</v>
      </c>
      <c r="B206" s="2">
        <v>0.025096111</v>
      </c>
      <c r="C206" s="2">
        <v>0.024464024</v>
      </c>
      <c r="D206" s="2">
        <v>0.008980502</v>
      </c>
      <c r="E206" s="2">
        <v>0.00851255300000003</v>
      </c>
      <c r="Q206" s="1" t="s">
        <v>10</v>
      </c>
    </row>
    <row r="207" spans="1:17">
      <c r="A207" s="1">
        <v>205</v>
      </c>
      <c r="B207" s="2">
        <v>0.026802854</v>
      </c>
      <c r="C207" s="2">
        <v>0.026414724</v>
      </c>
      <c r="D207" s="2">
        <v>0.019464665</v>
      </c>
      <c r="E207" s="2">
        <v>0.018325073</v>
      </c>
      <c r="Q207" s="1" t="s">
        <v>10</v>
      </c>
    </row>
    <row r="208" spans="1:17">
      <c r="A208" s="1">
        <v>206</v>
      </c>
      <c r="B208" s="2">
        <v>0.025121629</v>
      </c>
      <c r="C208" s="2">
        <v>0.025043721</v>
      </c>
      <c r="D208" s="2">
        <v>0.013766592</v>
      </c>
      <c r="E208" s="2">
        <v>0.012104005</v>
      </c>
      <c r="Q208" s="1" t="s">
        <v>10</v>
      </c>
    </row>
    <row r="209" spans="1:17">
      <c r="A209" s="1">
        <v>207</v>
      </c>
      <c r="B209" s="2">
        <v>0.02415132</v>
      </c>
      <c r="C209" s="2">
        <v>0.02434471</v>
      </c>
      <c r="D209" s="2">
        <v>0.016796519</v>
      </c>
      <c r="E209" s="2">
        <v>0.014359678</v>
      </c>
      <c r="Q209" s="1" t="s">
        <v>10</v>
      </c>
    </row>
    <row r="210" spans="1:17">
      <c r="A210" s="1">
        <v>208</v>
      </c>
      <c r="B210" s="2">
        <v>0.0232069</v>
      </c>
      <c r="C210" s="2">
        <v>0.024522037</v>
      </c>
      <c r="D210" s="2">
        <v>0.022563217</v>
      </c>
      <c r="E210" s="2">
        <v>0.021886838</v>
      </c>
      <c r="Q210" s="1" t="s">
        <v>10</v>
      </c>
    </row>
    <row r="211" spans="1:17">
      <c r="A211" s="1">
        <v>209</v>
      </c>
      <c r="B211" s="2">
        <v>0.025504455</v>
      </c>
      <c r="C211" s="2">
        <v>0.024662874</v>
      </c>
      <c r="D211" s="2">
        <v>0.031935236</v>
      </c>
      <c r="E211" s="2">
        <v>0.028703027</v>
      </c>
      <c r="Q211" s="1" t="s">
        <v>10</v>
      </c>
    </row>
    <row r="212" spans="1:17">
      <c r="A212" s="1">
        <v>210</v>
      </c>
      <c r="B212" s="2">
        <v>0.024226145</v>
      </c>
      <c r="C212" s="2">
        <v>0.023795849</v>
      </c>
      <c r="D212" s="2">
        <v>0.011291773</v>
      </c>
      <c r="E212" s="2">
        <v>0.010332459</v>
      </c>
      <c r="Q212" s="1" t="s">
        <v>10</v>
      </c>
    </row>
    <row r="213" spans="1:17">
      <c r="A213" s="1">
        <v>211</v>
      </c>
      <c r="B213" s="2">
        <v>0.023666831</v>
      </c>
      <c r="C213" s="2">
        <v>0.023667338</v>
      </c>
      <c r="D213" s="2">
        <v>0.011974127</v>
      </c>
      <c r="E213" s="2">
        <v>0.00971098300000001</v>
      </c>
      <c r="Q213" s="1" t="s">
        <v>10</v>
      </c>
    </row>
    <row r="214" spans="1:17">
      <c r="A214" s="1">
        <v>212</v>
      </c>
      <c r="B214" s="2">
        <v>0.021382399</v>
      </c>
      <c r="C214" s="2">
        <v>0.023340903</v>
      </c>
      <c r="D214" s="2">
        <v>0.012933051</v>
      </c>
      <c r="E214" s="2">
        <v>0.011746725</v>
      </c>
      <c r="Q214" s="1" t="s">
        <v>10</v>
      </c>
    </row>
    <row r="215" spans="1:17">
      <c r="A215" s="1">
        <v>213</v>
      </c>
      <c r="B215" s="2">
        <v>0.027009746</v>
      </c>
      <c r="C215" s="2">
        <v>0.026067142</v>
      </c>
      <c r="D215" s="2">
        <v>0.02929942</v>
      </c>
      <c r="E215" s="2">
        <v>0.02726519</v>
      </c>
      <c r="Q215" s="1" t="s">
        <v>10</v>
      </c>
    </row>
    <row r="216" spans="1:17">
      <c r="A216" s="1">
        <v>214</v>
      </c>
      <c r="B216" s="2">
        <v>1.7399999999862e-7</v>
      </c>
      <c r="C216" s="2">
        <v>0.000703911000000002</v>
      </c>
      <c r="D216" s="2">
        <v>0</v>
      </c>
      <c r="E216" s="2">
        <v>0.000577974000000009</v>
      </c>
      <c r="Q216" s="1" t="s">
        <v>10</v>
      </c>
    </row>
    <row r="217" spans="1:17">
      <c r="A217" s="1">
        <v>215</v>
      </c>
      <c r="B217" s="2">
        <v>0.002413575</v>
      </c>
      <c r="C217" s="2">
        <v>0.025786521</v>
      </c>
      <c r="D217" s="2">
        <v>0.00230238900000002</v>
      </c>
      <c r="E217" s="2">
        <v>0.036021776</v>
      </c>
      <c r="Q217" s="1" t="s">
        <v>10</v>
      </c>
    </row>
    <row r="218" spans="1:17">
      <c r="A218" s="1">
        <v>216</v>
      </c>
      <c r="B218" s="2">
        <v>0</v>
      </c>
      <c r="C218" s="2">
        <v>0</v>
      </c>
      <c r="D218" s="2">
        <v>0</v>
      </c>
      <c r="E218" s="2">
        <v>0</v>
      </c>
      <c r="Q218" s="1" t="s">
        <v>10</v>
      </c>
    </row>
    <row r="219" spans="1:17">
      <c r="A219" s="1">
        <v>217</v>
      </c>
      <c r="B219" s="2">
        <v>0.018652653</v>
      </c>
      <c r="C219" s="2">
        <v>0.01986912</v>
      </c>
      <c r="D219" s="2">
        <v>0.020232957</v>
      </c>
      <c r="E219" s="2">
        <v>0.019949788</v>
      </c>
      <c r="Q219" s="1" t="s">
        <v>10</v>
      </c>
    </row>
    <row r="220" spans="1:17">
      <c r="A220" s="1">
        <v>218</v>
      </c>
      <c r="B220" s="2">
        <v>0</v>
      </c>
      <c r="C220" s="2">
        <v>0</v>
      </c>
      <c r="D220" s="2">
        <v>0</v>
      </c>
      <c r="E220" s="2">
        <v>0.231433954</v>
      </c>
      <c r="Q220" s="1" t="s">
        <v>10</v>
      </c>
    </row>
    <row r="221" spans="1:17">
      <c r="A221" s="1">
        <v>219</v>
      </c>
      <c r="B221" s="2">
        <v>0</v>
      </c>
      <c r="C221" s="2">
        <v>0</v>
      </c>
      <c r="D221" s="2">
        <v>0</v>
      </c>
      <c r="E221" s="2">
        <v>0</v>
      </c>
      <c r="Q221" s="1" t="s">
        <v>10</v>
      </c>
    </row>
    <row r="222" spans="1:17">
      <c r="A222" s="1">
        <v>220</v>
      </c>
      <c r="B222" s="2">
        <v>0</v>
      </c>
      <c r="C222" s="2">
        <v>0</v>
      </c>
      <c r="D222" s="2">
        <v>0</v>
      </c>
      <c r="E222" s="2">
        <v>0</v>
      </c>
      <c r="Q222" s="1" t="s">
        <v>10</v>
      </c>
    </row>
    <row r="223" spans="1:17">
      <c r="A223" s="1">
        <v>221</v>
      </c>
      <c r="B223" s="2">
        <v>0.02513779</v>
      </c>
      <c r="C223" s="2">
        <v>0.023973225</v>
      </c>
      <c r="D223" s="2">
        <v>0.02428189</v>
      </c>
      <c r="E223" s="2">
        <v>0.024126835</v>
      </c>
      <c r="Q223" s="1" t="s">
        <v>10</v>
      </c>
    </row>
    <row r="224" spans="1:17">
      <c r="A224" s="1">
        <v>222</v>
      </c>
      <c r="B224" s="2">
        <v>0</v>
      </c>
      <c r="C224" s="2">
        <v>0</v>
      </c>
      <c r="D224" s="2">
        <v>0</v>
      </c>
      <c r="E224" s="2">
        <v>0</v>
      </c>
      <c r="Q224" s="1" t="s">
        <v>10</v>
      </c>
    </row>
    <row r="225" spans="1:17">
      <c r="A225" s="1">
        <v>223</v>
      </c>
      <c r="B225" s="2">
        <v>0.020864101</v>
      </c>
      <c r="C225" s="2">
        <v>0.02291755</v>
      </c>
      <c r="D225" s="2">
        <v>0.00824459699999996</v>
      </c>
      <c r="E225" s="2">
        <v>0.00847537100000001</v>
      </c>
      <c r="Q225" s="1" t="s">
        <v>10</v>
      </c>
    </row>
    <row r="226" spans="1:17">
      <c r="A226" s="1">
        <v>224</v>
      </c>
      <c r="B226" s="2">
        <v>0.022897547</v>
      </c>
      <c r="C226" s="2">
        <v>0.023111996</v>
      </c>
      <c r="D226" s="2">
        <v>0.012909404</v>
      </c>
      <c r="E226" s="2">
        <v>0.010077992</v>
      </c>
      <c r="Q226" s="1" t="s">
        <v>10</v>
      </c>
    </row>
    <row r="227" spans="1:17">
      <c r="A227" s="1">
        <v>225</v>
      </c>
      <c r="B227" s="2">
        <v>0.020483092</v>
      </c>
      <c r="C227" s="2">
        <v>0.023179438</v>
      </c>
      <c r="D227" s="2">
        <v>0.01689989</v>
      </c>
      <c r="E227" s="2">
        <v>0.01677034</v>
      </c>
      <c r="Q227" s="1" t="s">
        <v>10</v>
      </c>
    </row>
    <row r="228" spans="1:17">
      <c r="A228" s="1">
        <v>226</v>
      </c>
      <c r="B228" s="2">
        <v>0.023190059</v>
      </c>
      <c r="C228" s="2">
        <v>0.02365321</v>
      </c>
      <c r="D228" s="2">
        <v>0.016287735</v>
      </c>
      <c r="E228" s="2">
        <v>0.013953907</v>
      </c>
      <c r="Q228" s="1" t="s">
        <v>10</v>
      </c>
    </row>
    <row r="229" spans="1:17">
      <c r="A229" s="1">
        <v>227</v>
      </c>
      <c r="B229" s="2">
        <v>0.024127389</v>
      </c>
      <c r="C229" s="2">
        <v>0.024219365</v>
      </c>
      <c r="D229" s="2">
        <v>0.014740513</v>
      </c>
      <c r="E229" s="2">
        <v>0.011701008</v>
      </c>
      <c r="Q229" s="1" t="s">
        <v>10</v>
      </c>
    </row>
    <row r="230" spans="1:17">
      <c r="A230" s="1">
        <v>228</v>
      </c>
      <c r="B230" s="2">
        <v>0.017274425</v>
      </c>
      <c r="C230" s="2">
        <v>0.016690282</v>
      </c>
      <c r="D230" s="2">
        <v>0.186842388</v>
      </c>
      <c r="E230" s="2">
        <v>0.219042446</v>
      </c>
      <c r="Q230" s="1" t="s">
        <v>10</v>
      </c>
    </row>
    <row r="231" spans="1:17">
      <c r="A231" s="1">
        <v>229</v>
      </c>
      <c r="B231" s="2">
        <v>0.025469531</v>
      </c>
      <c r="C231" s="2">
        <v>0.02417548</v>
      </c>
      <c r="D231" s="2">
        <v>0.056722719</v>
      </c>
      <c r="E231" s="2">
        <v>0.055254071</v>
      </c>
      <c r="Q231" s="1" t="s">
        <v>10</v>
      </c>
    </row>
    <row r="232" spans="1:17">
      <c r="A232" s="1">
        <v>230</v>
      </c>
      <c r="B232" s="2">
        <v>0.02527878</v>
      </c>
      <c r="C232" s="2">
        <v>0.02473425</v>
      </c>
      <c r="D232" s="2">
        <v>0.01188511</v>
      </c>
      <c r="E232" s="2">
        <v>0.01129642</v>
      </c>
      <c r="Q232" s="1" t="s">
        <v>10</v>
      </c>
    </row>
    <row r="233" spans="1:17">
      <c r="A233" s="1">
        <v>231</v>
      </c>
      <c r="B233" s="2">
        <v>0.024004701</v>
      </c>
      <c r="C233" s="2">
        <v>0.023929248</v>
      </c>
      <c r="D233" s="2">
        <v>0.00166560100000002</v>
      </c>
      <c r="E233" s="2">
        <v>0.00146005100000002</v>
      </c>
      <c r="Q233" s="1" t="s">
        <v>10</v>
      </c>
    </row>
    <row r="234" spans="1:17">
      <c r="A234" s="1">
        <v>232</v>
      </c>
      <c r="B234" s="2">
        <v>0.023861534</v>
      </c>
      <c r="C234" s="2">
        <v>0.023669887</v>
      </c>
      <c r="D234" s="2">
        <v>0.00311278399999998</v>
      </c>
      <c r="E234" s="2">
        <v>0.00282064399999998</v>
      </c>
      <c r="Q234" s="1" t="s">
        <v>10</v>
      </c>
    </row>
    <row r="235" spans="1:17">
      <c r="A235" s="1">
        <v>233</v>
      </c>
      <c r="B235" s="2">
        <v>0.025899446</v>
      </c>
      <c r="C235" s="2">
        <v>0.025913179</v>
      </c>
      <c r="D235" s="2">
        <v>0.013915504</v>
      </c>
      <c r="E235" s="2">
        <v>0.011572587</v>
      </c>
      <c r="Q235" s="1" t="s">
        <v>10</v>
      </c>
    </row>
    <row r="236" spans="1:17">
      <c r="A236" s="1">
        <v>234</v>
      </c>
      <c r="B236" s="2">
        <v>0.015611936</v>
      </c>
      <c r="C236" s="2">
        <v>0.02017313</v>
      </c>
      <c r="D236" s="2">
        <v>0.017186721</v>
      </c>
      <c r="E236" s="2">
        <v>0.022515481</v>
      </c>
      <c r="Q236" s="1" t="s">
        <v>10</v>
      </c>
    </row>
    <row r="237" spans="1:17">
      <c r="A237" s="1">
        <v>235</v>
      </c>
      <c r="B237" s="2">
        <v>0.022955466</v>
      </c>
      <c r="C237" s="2">
        <v>0.023182088</v>
      </c>
      <c r="D237" s="2">
        <v>0.00491451999999998</v>
      </c>
      <c r="E237" s="2">
        <v>0.00379412999999995</v>
      </c>
      <c r="Q237" s="1" t="s">
        <v>10</v>
      </c>
    </row>
    <row r="238" spans="1:17">
      <c r="A238" s="1">
        <v>236</v>
      </c>
      <c r="B238" s="2">
        <v>0.021620472</v>
      </c>
      <c r="C238" s="2">
        <v>0.022582418</v>
      </c>
      <c r="D238" s="2">
        <v>0.011437008</v>
      </c>
      <c r="E238" s="2">
        <v>0.009948874</v>
      </c>
      <c r="Q238" s="1" t="s">
        <v>10</v>
      </c>
    </row>
    <row r="239" spans="1:17">
      <c r="A239" s="1">
        <v>237</v>
      </c>
      <c r="B239" s="2">
        <v>0.000850479999999987</v>
      </c>
      <c r="C239" s="2">
        <v>0.00184083399999999</v>
      </c>
      <c r="D239" s="2">
        <v>0.000631589999999987</v>
      </c>
      <c r="E239" s="2">
        <v>0.001305374</v>
      </c>
      <c r="Q239" s="1" t="s">
        <v>10</v>
      </c>
    </row>
    <row r="240" spans="1:17">
      <c r="A240" s="1">
        <v>238</v>
      </c>
      <c r="B240" s="2">
        <v>0.01818609</v>
      </c>
      <c r="C240" s="2">
        <v>0.022291402</v>
      </c>
      <c r="D240" s="2">
        <v>0.021343328</v>
      </c>
      <c r="E240" s="2">
        <v>0.026662728</v>
      </c>
      <c r="Q240" s="1" t="s">
        <v>10</v>
      </c>
    </row>
    <row r="241" spans="1:17">
      <c r="A241" s="1">
        <v>239</v>
      </c>
      <c r="B241" s="2">
        <v>0</v>
      </c>
      <c r="C241" s="2">
        <v>0</v>
      </c>
      <c r="D241" s="2">
        <v>0</v>
      </c>
      <c r="E241" s="2">
        <v>0</v>
      </c>
      <c r="Q241" s="1" t="s">
        <v>10</v>
      </c>
    </row>
    <row r="242" spans="1:17">
      <c r="A242" s="1">
        <v>240</v>
      </c>
      <c r="B242" s="2">
        <v>0.022131867</v>
      </c>
      <c r="C242" s="2">
        <v>0.019368132</v>
      </c>
      <c r="D242" s="2">
        <v>0.016302966</v>
      </c>
      <c r="E242" s="2">
        <v>0.014950858</v>
      </c>
      <c r="Q242" s="1" t="s">
        <v>10</v>
      </c>
    </row>
    <row r="243" spans="1:17">
      <c r="A243" s="1">
        <v>241</v>
      </c>
      <c r="B243" s="2">
        <v>0</v>
      </c>
      <c r="C243" s="2">
        <v>0</v>
      </c>
      <c r="D243" s="2">
        <v>0</v>
      </c>
      <c r="E243" s="2">
        <v>0</v>
      </c>
      <c r="Q243" s="1" t="s">
        <v>10</v>
      </c>
    </row>
    <row r="244" spans="1:17">
      <c r="A244" s="1">
        <v>242</v>
      </c>
      <c r="B244" s="2">
        <v>0.01413094</v>
      </c>
      <c r="C244" s="2">
        <v>0.013952506</v>
      </c>
      <c r="D244" s="2">
        <v>0.145837534</v>
      </c>
      <c r="E244" s="2">
        <v>0.17179256</v>
      </c>
      <c r="Q244" s="1" t="s">
        <v>10</v>
      </c>
    </row>
    <row r="245" spans="1:17">
      <c r="A245" s="1">
        <v>243</v>
      </c>
      <c r="B245" s="2">
        <v>0.027381242</v>
      </c>
      <c r="C245" s="2">
        <v>0.027139017</v>
      </c>
      <c r="D245" s="2">
        <v>0.013410505</v>
      </c>
      <c r="E245" s="2">
        <v>0.012363235</v>
      </c>
      <c r="Q245" s="1" t="s">
        <v>10</v>
      </c>
    </row>
    <row r="246" spans="1:17">
      <c r="A246" s="1">
        <v>244</v>
      </c>
      <c r="B246" s="2">
        <v>0.026228029</v>
      </c>
      <c r="C246" s="2">
        <v>0.025994995</v>
      </c>
      <c r="D246" s="2">
        <v>0.031228153</v>
      </c>
      <c r="E246" s="2">
        <v>0.030932627</v>
      </c>
      <c r="Q246" s="1" t="s">
        <v>10</v>
      </c>
    </row>
    <row r="247" spans="1:17">
      <c r="A247" s="1">
        <v>245</v>
      </c>
      <c r="B247" s="2">
        <v>0.024979098</v>
      </c>
      <c r="C247" s="2">
        <v>0.024326017</v>
      </c>
      <c r="D247" s="2">
        <v>0.104448829</v>
      </c>
      <c r="E247" s="2">
        <v>0.107181027</v>
      </c>
      <c r="Q247" s="1" t="s">
        <v>10</v>
      </c>
    </row>
    <row r="248" spans="1:17">
      <c r="A248" s="1">
        <v>246</v>
      </c>
      <c r="B248" s="2">
        <v>0.028376706</v>
      </c>
      <c r="C248" s="2">
        <v>0.027986681</v>
      </c>
      <c r="D248" s="2">
        <v>0.016912752</v>
      </c>
      <c r="E248" s="2">
        <v>0.016135168</v>
      </c>
      <c r="Q248" s="1" t="s">
        <v>10</v>
      </c>
    </row>
    <row r="249" spans="1:17">
      <c r="A249" s="1">
        <v>247</v>
      </c>
      <c r="B249" s="2">
        <v>0.024310137</v>
      </c>
      <c r="C249" s="2">
        <v>0.023842034</v>
      </c>
      <c r="D249" s="2">
        <v>0.013060445</v>
      </c>
      <c r="E249" s="2">
        <v>0.01181131</v>
      </c>
      <c r="Q249" s="1" t="s">
        <v>10</v>
      </c>
    </row>
    <row r="250" spans="1:17">
      <c r="A250" s="1">
        <v>248</v>
      </c>
      <c r="B250" s="2">
        <v>0.026176438</v>
      </c>
      <c r="C250" s="2">
        <v>0.026104656</v>
      </c>
      <c r="D250" s="2">
        <v>0.00897956</v>
      </c>
      <c r="E250" s="2">
        <v>0.00736808700000002</v>
      </c>
      <c r="Q250" s="1" t="s">
        <v>10</v>
      </c>
    </row>
    <row r="251" spans="1:17">
      <c r="A251" s="1">
        <v>249</v>
      </c>
      <c r="B251" s="2">
        <v>0.024885735</v>
      </c>
      <c r="C251" s="2">
        <v>0.024564084</v>
      </c>
      <c r="D251" s="2">
        <v>0.00838503400000001</v>
      </c>
      <c r="E251" s="2">
        <v>0.00637285199999998</v>
      </c>
      <c r="Q251" s="1" t="s">
        <v>10</v>
      </c>
    </row>
    <row r="252" spans="1:17">
      <c r="A252" s="1">
        <v>250</v>
      </c>
      <c r="B252" s="2">
        <v>0.023451866</v>
      </c>
      <c r="C252" s="2">
        <v>0.023913025</v>
      </c>
      <c r="D252" s="2">
        <v>0.022712567</v>
      </c>
      <c r="E252" s="2">
        <v>0.020643128</v>
      </c>
      <c r="Q252" s="1" t="s">
        <v>10</v>
      </c>
    </row>
    <row r="253" spans="1:17">
      <c r="A253" s="1">
        <v>251</v>
      </c>
      <c r="B253" s="2">
        <v>0.013413542</v>
      </c>
      <c r="C253" s="2">
        <v>0.00599859000000003</v>
      </c>
      <c r="D253" s="2">
        <v>0.162021269</v>
      </c>
      <c r="E253" s="2">
        <v>0.176415356</v>
      </c>
      <c r="Q253" s="1" t="s">
        <v>10</v>
      </c>
    </row>
    <row r="254" spans="1:17">
      <c r="A254" s="1">
        <v>252</v>
      </c>
      <c r="B254" s="2">
        <v>0.027718519</v>
      </c>
      <c r="C254" s="2">
        <v>0.027179043</v>
      </c>
      <c r="D254" s="2">
        <v>0.018667443</v>
      </c>
      <c r="E254" s="2">
        <v>0.017793031</v>
      </c>
      <c r="Q254" s="1" t="s">
        <v>10</v>
      </c>
    </row>
    <row r="255" spans="1:17">
      <c r="A255" s="1">
        <v>253</v>
      </c>
      <c r="B255" s="2">
        <v>0.026401156</v>
      </c>
      <c r="C255" s="2">
        <v>0.023907653</v>
      </c>
      <c r="D255" s="2">
        <v>0.040915794</v>
      </c>
      <c r="E255" s="2">
        <v>0.0502527</v>
      </c>
      <c r="Q255" s="1" t="s">
        <v>10</v>
      </c>
    </row>
    <row r="256" spans="1:17">
      <c r="A256" s="1">
        <v>254</v>
      </c>
      <c r="B256" s="2">
        <v>0.025511115</v>
      </c>
      <c r="C256" s="2">
        <v>0.024773583</v>
      </c>
      <c r="D256" s="2">
        <v>0.029379505</v>
      </c>
      <c r="E256" s="2">
        <v>0.028217809</v>
      </c>
      <c r="Q256" s="1" t="s">
        <v>10</v>
      </c>
    </row>
    <row r="257" spans="1:17">
      <c r="A257" s="1">
        <v>255</v>
      </c>
      <c r="B257" s="2">
        <v>0.02870445</v>
      </c>
      <c r="C257" s="2">
        <v>0.027844454</v>
      </c>
      <c r="D257" s="2">
        <v>0.016522727</v>
      </c>
      <c r="E257" s="2">
        <v>0.015728242</v>
      </c>
      <c r="Q257" s="1" t="s">
        <v>10</v>
      </c>
    </row>
    <row r="258" spans="1:17">
      <c r="A258" s="1">
        <v>256</v>
      </c>
      <c r="B258" s="2">
        <v>0.024523255</v>
      </c>
      <c r="C258" s="2">
        <v>0.024461689</v>
      </c>
      <c r="D258" s="2">
        <v>0.018728311</v>
      </c>
      <c r="E258" s="2">
        <v>0.017566934</v>
      </c>
      <c r="Q258" s="1" t="s">
        <v>10</v>
      </c>
    </row>
    <row r="259" spans="1:17">
      <c r="A259" s="1">
        <v>257</v>
      </c>
      <c r="B259" s="2">
        <v>0.02399338</v>
      </c>
      <c r="C259" s="2">
        <v>0.0239295940000001</v>
      </c>
      <c r="D259" s="2">
        <v>0.020259857</v>
      </c>
      <c r="E259" s="2">
        <v>0.019289107</v>
      </c>
      <c r="Q259" s="1" t="s">
        <v>10</v>
      </c>
    </row>
    <row r="260" spans="1:17">
      <c r="A260" s="1">
        <v>258</v>
      </c>
      <c r="B260" s="2">
        <v>0</v>
      </c>
      <c r="C260" s="2">
        <v>0</v>
      </c>
      <c r="D260" s="2">
        <v>0</v>
      </c>
      <c r="E260" s="2">
        <v>0</v>
      </c>
      <c r="Q260" s="1" t="s">
        <v>10</v>
      </c>
    </row>
    <row r="261" spans="1:17">
      <c r="A261" s="1">
        <v>259</v>
      </c>
      <c r="B261" s="2">
        <v>0.02524919</v>
      </c>
      <c r="C261" s="2">
        <v>0.02485565</v>
      </c>
      <c r="D261" s="2">
        <v>0.03959729</v>
      </c>
      <c r="E261" s="2">
        <v>0.040099815</v>
      </c>
      <c r="Q261" s="1" t="s">
        <v>10</v>
      </c>
    </row>
    <row r="262" spans="1:17">
      <c r="A262" s="1">
        <v>260</v>
      </c>
      <c r="B262" s="2">
        <v>0.024018443</v>
      </c>
      <c r="C262" s="2">
        <v>0.023618503</v>
      </c>
      <c r="D262" s="2">
        <v>0.083505682</v>
      </c>
      <c r="E262" s="2">
        <v>0.084568575</v>
      </c>
      <c r="Q262" s="1" t="s">
        <v>10</v>
      </c>
    </row>
    <row r="263" spans="1:17">
      <c r="A263" s="1">
        <v>261</v>
      </c>
      <c r="B263" s="2">
        <v>2.36100000000627e-6</v>
      </c>
      <c r="C263" s="2">
        <v>3.57699999999905e-5</v>
      </c>
      <c r="D263" s="2">
        <v>2.4850000000104e-6</v>
      </c>
      <c r="E263" s="2">
        <v>3.60559999999926e-5</v>
      </c>
      <c r="Q263" s="1" t="s">
        <v>10</v>
      </c>
    </row>
    <row r="264" spans="1:17">
      <c r="A264" s="1">
        <v>262</v>
      </c>
      <c r="B264" s="2">
        <v>0.023645007</v>
      </c>
      <c r="C264" s="2">
        <v>0.023413281</v>
      </c>
      <c r="D264" s="2">
        <v>0.014263645</v>
      </c>
      <c r="E264" s="2">
        <v>0.010849958</v>
      </c>
      <c r="Q264" s="1" t="s">
        <v>10</v>
      </c>
    </row>
    <row r="265" spans="1:17">
      <c r="A265" s="1">
        <v>263</v>
      </c>
      <c r="B265" s="2">
        <v>0</v>
      </c>
      <c r="C265" s="2">
        <v>0</v>
      </c>
      <c r="D265" s="2">
        <v>0</v>
      </c>
      <c r="E265" s="2">
        <v>0</v>
      </c>
      <c r="Q265" s="1" t="s">
        <v>10</v>
      </c>
    </row>
    <row r="266" spans="1:17">
      <c r="A266" s="1">
        <v>264</v>
      </c>
      <c r="B266" s="2">
        <v>0.023058187</v>
      </c>
      <c r="C266" s="2">
        <v>0.023022511</v>
      </c>
      <c r="D266" s="2">
        <v>0.0144325</v>
      </c>
      <c r="E266" s="2">
        <v>0.012840008</v>
      </c>
      <c r="Q266" s="1" t="s">
        <v>10</v>
      </c>
    </row>
    <row r="267" spans="1:17">
      <c r="A267" s="1">
        <v>265</v>
      </c>
      <c r="B267" s="2">
        <v>0.024588974</v>
      </c>
      <c r="C267" s="2">
        <v>0.024800753</v>
      </c>
      <c r="D267" s="2">
        <v>0.016266388</v>
      </c>
      <c r="E267" s="2">
        <v>0.014149144</v>
      </c>
      <c r="Q267" s="1" t="s">
        <v>10</v>
      </c>
    </row>
    <row r="268" spans="1:17">
      <c r="A268" s="1">
        <v>266</v>
      </c>
      <c r="B268" s="2">
        <v>0.025232729</v>
      </c>
      <c r="C268" s="2">
        <v>0.025209785</v>
      </c>
      <c r="D268" s="2">
        <v>0.019012103</v>
      </c>
      <c r="E268" s="2">
        <v>0.017892106</v>
      </c>
      <c r="Q268" s="1" t="s">
        <v>10</v>
      </c>
    </row>
    <row r="269" spans="1:17">
      <c r="A269" s="1">
        <v>267</v>
      </c>
      <c r="B269" s="2">
        <v>0</v>
      </c>
      <c r="C269" s="2">
        <v>0</v>
      </c>
      <c r="D269" s="2">
        <v>0</v>
      </c>
      <c r="E269" s="2">
        <v>0</v>
      </c>
      <c r="Q269" s="1" t="s">
        <v>10</v>
      </c>
    </row>
    <row r="270" spans="1:17">
      <c r="A270" s="1">
        <v>268</v>
      </c>
      <c r="B270" s="2">
        <v>0.00671011299999999</v>
      </c>
      <c r="C270" s="2">
        <v>0.00591461600000001</v>
      </c>
      <c r="D270" s="2">
        <v>0.412863902</v>
      </c>
      <c r="E270" s="2">
        <v>0.469391929</v>
      </c>
      <c r="Q270" s="1" t="s">
        <v>10</v>
      </c>
    </row>
    <row r="271" spans="1:17">
      <c r="A271" s="1">
        <v>269</v>
      </c>
      <c r="B271" s="2">
        <v>0.025106699</v>
      </c>
      <c r="C271" s="2">
        <v>0.025290931</v>
      </c>
      <c r="D271" s="2">
        <v>0.035141243</v>
      </c>
      <c r="E271" s="2">
        <v>0.035459676</v>
      </c>
      <c r="Q271" s="1" t="s">
        <v>10</v>
      </c>
    </row>
    <row r="272" spans="1:17">
      <c r="A272" s="1">
        <v>270</v>
      </c>
      <c r="B272" s="2">
        <v>0.02616391</v>
      </c>
      <c r="C272" s="2">
        <v>0.025979568</v>
      </c>
      <c r="D272" s="2">
        <v>0.016495451</v>
      </c>
      <c r="E272" s="2">
        <v>0.015573496</v>
      </c>
      <c r="Q272" s="1" t="s">
        <v>10</v>
      </c>
    </row>
    <row r="273" spans="1:17">
      <c r="A273" s="1">
        <v>271</v>
      </c>
      <c r="B273" s="2">
        <v>0.023342917</v>
      </c>
      <c r="C273" s="2">
        <v>0.02342328</v>
      </c>
      <c r="D273" s="2">
        <v>0.00771159799999999</v>
      </c>
      <c r="E273" s="2">
        <v>0.00642799200000005</v>
      </c>
      <c r="Q273" s="1" t="s">
        <v>10</v>
      </c>
    </row>
    <row r="274" spans="1:17">
      <c r="A274" s="1">
        <v>272</v>
      </c>
      <c r="B274" s="2">
        <v>0.023420091</v>
      </c>
      <c r="C274" s="2">
        <v>0.024179365</v>
      </c>
      <c r="D274" s="2">
        <v>0.009296368</v>
      </c>
      <c r="E274" s="2">
        <v>0.00765918700000001</v>
      </c>
      <c r="Q274" s="1" t="s">
        <v>10</v>
      </c>
    </row>
    <row r="275" spans="1:17">
      <c r="A275" s="1">
        <v>273</v>
      </c>
      <c r="B275" s="2">
        <v>0.024427367</v>
      </c>
      <c r="C275" s="2">
        <v>0.024486003</v>
      </c>
      <c r="D275" s="2">
        <v>0.00899401799999999</v>
      </c>
      <c r="E275" s="2">
        <v>0.00653585000000001</v>
      </c>
      <c r="Q275" s="1" t="s">
        <v>10</v>
      </c>
    </row>
    <row r="276" spans="1:17">
      <c r="A276" s="1">
        <v>274</v>
      </c>
      <c r="B276" s="2">
        <v>0.022188318</v>
      </c>
      <c r="C276" s="2">
        <v>0.023330804</v>
      </c>
      <c r="D276" s="2">
        <v>0.00531014200000002</v>
      </c>
      <c r="E276" s="2">
        <v>0.00477684</v>
      </c>
      <c r="Q276" s="1" t="s">
        <v>10</v>
      </c>
    </row>
    <row r="277" spans="1:17">
      <c r="A277" s="1">
        <v>275</v>
      </c>
      <c r="B277" s="2">
        <v>0.024277863</v>
      </c>
      <c r="C277" s="2">
        <v>0.024530559</v>
      </c>
      <c r="D277" s="2">
        <v>0.012513915</v>
      </c>
      <c r="E277" s="2">
        <v>0.00926226999999996</v>
      </c>
      <c r="Q277" s="1" t="s">
        <v>10</v>
      </c>
    </row>
    <row r="278" spans="1:17">
      <c r="A278" s="1">
        <v>276</v>
      </c>
      <c r="B278" s="2">
        <v>0.011270671</v>
      </c>
      <c r="C278" s="2">
        <v>0.015703765</v>
      </c>
      <c r="D278" s="2">
        <v>0.010346019</v>
      </c>
      <c r="E278" s="2">
        <v>0.014645241</v>
      </c>
      <c r="Q278" s="1" t="s">
        <v>10</v>
      </c>
    </row>
    <row r="279" spans="1:17">
      <c r="A279" s="1">
        <v>277</v>
      </c>
      <c r="B279" s="2">
        <v>0.022794842</v>
      </c>
      <c r="C279" s="2">
        <v>0.023709628</v>
      </c>
      <c r="D279" s="2">
        <v>0.014282536</v>
      </c>
      <c r="E279" s="2">
        <v>0.012549818</v>
      </c>
      <c r="Q279" s="1" t="s">
        <v>10</v>
      </c>
    </row>
    <row r="280" spans="1:17">
      <c r="A280" s="1">
        <v>278</v>
      </c>
      <c r="B280" s="2">
        <v>0.024505631</v>
      </c>
      <c r="C280" s="2">
        <v>0.024482646</v>
      </c>
      <c r="D280" s="2">
        <v>0.012966218</v>
      </c>
      <c r="E280" s="2">
        <v>0.011672155</v>
      </c>
      <c r="Q280" s="1" t="s">
        <v>10</v>
      </c>
    </row>
    <row r="281" spans="1:17">
      <c r="A281" s="1">
        <v>279</v>
      </c>
      <c r="B281" s="2">
        <v>0.022797293</v>
      </c>
      <c r="C281" s="2">
        <v>0.023201043</v>
      </c>
      <c r="D281" s="2">
        <v>0.016729657</v>
      </c>
      <c r="E281" s="2">
        <v>0.014425932</v>
      </c>
      <c r="Q281" s="1" t="s">
        <v>10</v>
      </c>
    </row>
    <row r="282" spans="1:17">
      <c r="A282" s="1">
        <v>280</v>
      </c>
      <c r="B282" s="2">
        <v>0.023092851</v>
      </c>
      <c r="C282" s="2">
        <v>0.023199879</v>
      </c>
      <c r="D282" s="2">
        <v>0.013329422</v>
      </c>
      <c r="E282" s="2">
        <v>0.011037292</v>
      </c>
      <c r="Q282" s="1" t="s">
        <v>10</v>
      </c>
    </row>
    <row r="283" spans="1:17">
      <c r="A283" s="1">
        <v>281</v>
      </c>
      <c r="B283" s="2">
        <v>0.025120683</v>
      </c>
      <c r="C283" s="2">
        <v>0.025242139</v>
      </c>
      <c r="D283" s="2">
        <v>0.013592995</v>
      </c>
      <c r="E283" s="2">
        <v>0.0111605</v>
      </c>
      <c r="Q283" s="1" t="s">
        <v>10</v>
      </c>
    </row>
    <row r="284" spans="1:17">
      <c r="A284" s="1">
        <v>282</v>
      </c>
      <c r="B284" s="2">
        <v>0.02382687</v>
      </c>
      <c r="C284" s="2">
        <v>0.023826465</v>
      </c>
      <c r="D284" s="2">
        <v>0.01283688</v>
      </c>
      <c r="E284" s="2">
        <v>0.011043551</v>
      </c>
      <c r="Q284" s="1" t="s">
        <v>10</v>
      </c>
    </row>
    <row r="285" spans="1:17">
      <c r="A285" s="1">
        <v>283</v>
      </c>
      <c r="B285" s="2">
        <v>0.022640165</v>
      </c>
      <c r="C285" s="2">
        <v>0.02406774</v>
      </c>
      <c r="D285" s="2">
        <v>0.031039907</v>
      </c>
      <c r="E285" s="2">
        <v>0.03350034</v>
      </c>
      <c r="Q285" s="1" t="s">
        <v>10</v>
      </c>
    </row>
    <row r="286" spans="1:17">
      <c r="A286" s="1">
        <v>284</v>
      </c>
      <c r="B286" s="2">
        <v>0.024354534</v>
      </c>
      <c r="C286" s="2">
        <v>0.025147034</v>
      </c>
      <c r="D286" s="2">
        <v>0.010813843</v>
      </c>
      <c r="E286" s="2">
        <v>0.00958146199999999</v>
      </c>
      <c r="Q286" s="1" t="s">
        <v>10</v>
      </c>
    </row>
    <row r="287" spans="1:17">
      <c r="A287" s="1">
        <v>285</v>
      </c>
      <c r="B287" s="2">
        <v>0.00292229500000002</v>
      </c>
      <c r="C287" s="2">
        <v>0.00529691899999998</v>
      </c>
      <c r="D287" s="2">
        <v>0.001300202</v>
      </c>
      <c r="E287" s="2">
        <v>0.002310546</v>
      </c>
      <c r="Q287" s="1" t="s">
        <v>10</v>
      </c>
    </row>
    <row r="288" spans="1:17">
      <c r="A288" s="1">
        <v>286</v>
      </c>
      <c r="B288" s="2">
        <v>0.025502672</v>
      </c>
      <c r="C288" s="2">
        <v>0.025609762</v>
      </c>
      <c r="D288" s="2">
        <v>0.018664474</v>
      </c>
      <c r="E288" s="2">
        <v>0.016471587</v>
      </c>
      <c r="Q288" s="1" t="s">
        <v>10</v>
      </c>
    </row>
    <row r="289" spans="1:17">
      <c r="A289" s="1">
        <v>287</v>
      </c>
      <c r="B289" s="2">
        <v>0.022734548</v>
      </c>
      <c r="C289" s="2">
        <v>0.023325337</v>
      </c>
      <c r="D289" s="2">
        <v>0.016547752</v>
      </c>
      <c r="E289" s="2">
        <v>0.013741696</v>
      </c>
      <c r="Q289" s="1" t="s">
        <v>10</v>
      </c>
    </row>
    <row r="290" spans="1:17">
      <c r="A290" s="1">
        <v>288</v>
      </c>
      <c r="B290" s="2">
        <v>0</v>
      </c>
      <c r="C290" s="2">
        <v>0</v>
      </c>
      <c r="D290" s="2">
        <v>0</v>
      </c>
      <c r="E290" s="2">
        <v>-3.97999999999992e-8</v>
      </c>
      <c r="Q290" s="1" t="s">
        <v>10</v>
      </c>
    </row>
    <row r="291" spans="1:17">
      <c r="A291" s="1">
        <v>289</v>
      </c>
      <c r="B291" s="2">
        <v>0</v>
      </c>
      <c r="C291" s="2">
        <v>0</v>
      </c>
      <c r="D291" s="2">
        <v>0</v>
      </c>
      <c r="E291" s="2">
        <v>0</v>
      </c>
      <c r="Q291" s="1" t="s">
        <v>10</v>
      </c>
    </row>
    <row r="292" spans="1:17">
      <c r="A292" s="1">
        <v>290</v>
      </c>
      <c r="B292" s="2">
        <v>0.022875614</v>
      </c>
      <c r="C292" s="2">
        <v>0.023214171</v>
      </c>
      <c r="D292" s="2">
        <v>0.00936119099999999</v>
      </c>
      <c r="E292" s="2">
        <v>0.00769642700000001</v>
      </c>
      <c r="Q292" s="1" t="s">
        <v>10</v>
      </c>
    </row>
    <row r="293" spans="1:17">
      <c r="A293" s="1">
        <v>291</v>
      </c>
      <c r="B293" s="2">
        <v>0.015779739</v>
      </c>
      <c r="C293" s="2">
        <v>0.020648952</v>
      </c>
      <c r="D293" s="2">
        <v>0.011978548</v>
      </c>
      <c r="E293" s="2">
        <v>0.014974406</v>
      </c>
      <c r="Q293" s="1" t="s">
        <v>10</v>
      </c>
    </row>
    <row r="294" spans="1:17">
      <c r="A294" s="1">
        <v>292</v>
      </c>
      <c r="B294" s="2">
        <v>0.025851854</v>
      </c>
      <c r="C294" s="2">
        <v>0.025317782</v>
      </c>
      <c r="D294" s="2">
        <v>0.005547843</v>
      </c>
      <c r="E294" s="2">
        <v>0.00496701800000005</v>
      </c>
      <c r="Q294" s="1" t="s">
        <v>10</v>
      </c>
    </row>
    <row r="295" spans="1:17">
      <c r="A295" s="1">
        <v>293</v>
      </c>
      <c r="B295" s="2">
        <v>0.02306106</v>
      </c>
      <c r="C295" s="2">
        <v>0.022579003</v>
      </c>
      <c r="D295" s="2">
        <v>0.014290745</v>
      </c>
      <c r="E295" s="2">
        <v>0.012648648</v>
      </c>
      <c r="Q295" s="1" t="s">
        <v>10</v>
      </c>
    </row>
    <row r="296" spans="1:17">
      <c r="A296" s="1">
        <v>294</v>
      </c>
      <c r="B296" s="2">
        <v>0.024402556</v>
      </c>
      <c r="C296" s="2">
        <v>0.023989181</v>
      </c>
      <c r="D296" s="2">
        <v>0.02227272</v>
      </c>
      <c r="E296" s="2">
        <v>0.021723307</v>
      </c>
      <c r="Q296" s="1" t="s">
        <v>10</v>
      </c>
    </row>
    <row r="297" spans="1:17">
      <c r="A297" s="1">
        <v>295</v>
      </c>
      <c r="B297" s="2">
        <v>0.021736118</v>
      </c>
      <c r="C297" s="2">
        <v>0.019877633</v>
      </c>
      <c r="D297" s="2">
        <v>0.099043126</v>
      </c>
      <c r="E297" s="2">
        <v>0.108645256</v>
      </c>
      <c r="Q297" s="1" t="s">
        <v>10</v>
      </c>
    </row>
    <row r="298" spans="1:17">
      <c r="A298" s="1">
        <v>296</v>
      </c>
      <c r="B298" s="2">
        <v>0.012977787</v>
      </c>
      <c r="C298" s="2">
        <v>0.010745372</v>
      </c>
      <c r="D298" s="2">
        <v>0.251124769</v>
      </c>
      <c r="E298" s="2">
        <v>0.308009155</v>
      </c>
      <c r="Q298" s="1" t="s">
        <v>10</v>
      </c>
    </row>
    <row r="299" spans="1:17">
      <c r="A299" s="1">
        <v>297</v>
      </c>
      <c r="B299" s="2">
        <v>0.00474271900000001</v>
      </c>
      <c r="C299" s="2">
        <v>0.001998788</v>
      </c>
      <c r="D299" s="2">
        <v>0.497156812</v>
      </c>
      <c r="E299" s="2">
        <v>0.694652955</v>
      </c>
      <c r="Q299" s="1" t="s">
        <v>10</v>
      </c>
    </row>
    <row r="300" spans="1:17">
      <c r="A300" s="1">
        <v>298</v>
      </c>
      <c r="B300" s="2">
        <v>0.02035244</v>
      </c>
      <c r="C300" s="2">
        <v>0.020764409</v>
      </c>
      <c r="D300" s="2">
        <v>0.022290695</v>
      </c>
      <c r="E300" s="2">
        <v>0.020345845</v>
      </c>
      <c r="Q300" s="1" t="s">
        <v>10</v>
      </c>
    </row>
    <row r="301" spans="1:17">
      <c r="A301" s="1">
        <v>299</v>
      </c>
      <c r="B301" s="2">
        <v>0.028874423</v>
      </c>
      <c r="C301" s="2">
        <v>0.027301723</v>
      </c>
      <c r="D301" s="2">
        <v>0.0201375150000001</v>
      </c>
      <c r="E301" s="2">
        <v>0.018456754</v>
      </c>
      <c r="Q301" s="1" t="s">
        <v>10</v>
      </c>
    </row>
    <row r="302" spans="1:17">
      <c r="A302" s="1">
        <v>300</v>
      </c>
      <c r="B302" s="2">
        <v>0.018425869</v>
      </c>
      <c r="C302" s="2">
        <v>0.02212901</v>
      </c>
      <c r="D302" s="2">
        <v>0.00733942099999996</v>
      </c>
      <c r="E302" s="2">
        <v>0.00857397199999999</v>
      </c>
      <c r="Q302" s="1" t="s">
        <v>10</v>
      </c>
    </row>
    <row r="303" spans="1:17">
      <c r="A303" s="1">
        <v>301</v>
      </c>
      <c r="B303" s="2">
        <v>0.023959458</v>
      </c>
      <c r="C303" s="2">
        <v>0.024018755</v>
      </c>
      <c r="D303" s="2">
        <v>0.01019169</v>
      </c>
      <c r="E303" s="2">
        <v>0.00847176700000002</v>
      </c>
      <c r="Q303" s="1" t="s">
        <v>10</v>
      </c>
    </row>
    <row r="304" spans="1:17">
      <c r="A304" s="1">
        <v>302</v>
      </c>
      <c r="B304" s="2">
        <v>0.023828265</v>
      </c>
      <c r="C304" s="2">
        <v>0.023669209</v>
      </c>
      <c r="D304" s="2">
        <v>0.00879932</v>
      </c>
      <c r="E304" s="2">
        <v>0.00712615899999997</v>
      </c>
      <c r="Q304" s="1" t="s">
        <v>10</v>
      </c>
    </row>
    <row r="305" spans="1:17">
      <c r="A305" s="1">
        <v>303</v>
      </c>
      <c r="B305" s="2">
        <v>0.024447295</v>
      </c>
      <c r="C305" s="2">
        <v>0.023672917</v>
      </c>
      <c r="D305" s="2">
        <v>0.00827732999999997</v>
      </c>
      <c r="E305" s="2">
        <v>0.00779289999999999</v>
      </c>
      <c r="Q305" s="1" t="s">
        <v>10</v>
      </c>
    </row>
    <row r="306" spans="1:17">
      <c r="A306" s="1">
        <v>304</v>
      </c>
      <c r="B306" s="2">
        <v>0.023310778</v>
      </c>
      <c r="C306" s="2">
        <v>0.023379575</v>
      </c>
      <c r="D306" s="2">
        <v>0.011058558</v>
      </c>
      <c r="E306" s="2">
        <v>0.00860489399999997</v>
      </c>
      <c r="Q306" s="1" t="s">
        <v>10</v>
      </c>
    </row>
    <row r="307" spans="1:17">
      <c r="A307" s="1">
        <v>305</v>
      </c>
      <c r="B307" s="2">
        <v>0.024724849</v>
      </c>
      <c r="C307" s="2">
        <v>0.02438765</v>
      </c>
      <c r="D307" s="2">
        <v>0.012160567</v>
      </c>
      <c r="E307" s="2">
        <v>0.010270677</v>
      </c>
      <c r="Q307" s="1" t="s">
        <v>10</v>
      </c>
    </row>
    <row r="308" spans="1:17">
      <c r="A308" s="1">
        <v>306</v>
      </c>
      <c r="B308" s="2">
        <v>0</v>
      </c>
      <c r="C308" s="2">
        <v>0</v>
      </c>
      <c r="D308" s="2">
        <v>0</v>
      </c>
      <c r="E308" s="2">
        <v>0</v>
      </c>
      <c r="Q308" s="1" t="s">
        <v>10</v>
      </c>
    </row>
    <row r="309" spans="1:17">
      <c r="A309" s="1">
        <v>307</v>
      </c>
      <c r="B309" s="2">
        <v>0.024625483</v>
      </c>
      <c r="C309" s="2">
        <v>0.024430808</v>
      </c>
      <c r="D309" s="2">
        <v>0.00702741899999998</v>
      </c>
      <c r="E309" s="2">
        <v>0.00591397999999999</v>
      </c>
      <c r="Q309" s="1" t="s">
        <v>10</v>
      </c>
    </row>
    <row r="310" spans="1:17">
      <c r="A310" s="1">
        <v>308</v>
      </c>
      <c r="B310" s="2">
        <v>0.024341382</v>
      </c>
      <c r="C310" s="2">
        <v>0.024049448</v>
      </c>
      <c r="D310" s="2">
        <v>0.011794375</v>
      </c>
      <c r="E310" s="2">
        <v>0.010598716</v>
      </c>
      <c r="Q310" s="1" t="s">
        <v>10</v>
      </c>
    </row>
    <row r="311" spans="1:17">
      <c r="A311" s="1">
        <v>309</v>
      </c>
      <c r="B311" s="2">
        <v>0.024494818</v>
      </c>
      <c r="C311" s="2">
        <v>0.024367764</v>
      </c>
      <c r="D311" s="2">
        <v>0.015102056</v>
      </c>
      <c r="E311" s="2">
        <v>0.012520011</v>
      </c>
      <c r="Q311" s="1" t="s">
        <v>10</v>
      </c>
    </row>
    <row r="312" spans="1:17">
      <c r="A312" s="1">
        <v>310</v>
      </c>
      <c r="B312" s="2">
        <v>0.025737064</v>
      </c>
      <c r="C312" s="2">
        <v>0.025600624</v>
      </c>
      <c r="D312" s="2">
        <v>0.00724919600000001</v>
      </c>
      <c r="E312" s="2">
        <v>0.00622587299999999</v>
      </c>
      <c r="Q312" s="1" t="s">
        <v>10</v>
      </c>
    </row>
    <row r="313" spans="1:17">
      <c r="A313" s="1">
        <v>311</v>
      </c>
      <c r="B313" s="2">
        <v>0</v>
      </c>
      <c r="C313" s="2">
        <v>0</v>
      </c>
      <c r="D313" s="2">
        <v>0</v>
      </c>
      <c r="E313" s="2">
        <v>0</v>
      </c>
      <c r="Q313" s="1" t="s">
        <v>10</v>
      </c>
    </row>
    <row r="314" spans="1:17">
      <c r="A314" s="1">
        <v>312</v>
      </c>
      <c r="B314" s="2">
        <v>0.023653796</v>
      </c>
      <c r="C314" s="2">
        <v>0.023943864</v>
      </c>
      <c r="D314" s="2">
        <v>0.010215228</v>
      </c>
      <c r="E314" s="2">
        <v>0.007838069</v>
      </c>
      <c r="Q314" s="1" t="s">
        <v>10</v>
      </c>
    </row>
    <row r="315" spans="1:17">
      <c r="A315" s="1">
        <v>313</v>
      </c>
      <c r="B315" s="2">
        <v>0.017504517</v>
      </c>
      <c r="C315" s="2">
        <v>0.020759974</v>
      </c>
      <c r="D315" s="2">
        <v>0.023695657</v>
      </c>
      <c r="E315" s="2">
        <v>0.029217382</v>
      </c>
      <c r="Q315" s="1" t="s">
        <v>10</v>
      </c>
    </row>
    <row r="316" spans="1:17">
      <c r="A316" s="1">
        <v>314</v>
      </c>
      <c r="B316" s="2">
        <v>0.000834263000000002</v>
      </c>
      <c r="C316" s="2">
        <v>0.00627546000000001</v>
      </c>
      <c r="D316" s="2">
        <v>0.000859681000000001</v>
      </c>
      <c r="E316" s="2">
        <v>0.009789928</v>
      </c>
      <c r="Q316" s="1" t="s">
        <v>10</v>
      </c>
    </row>
    <row r="317" spans="1:17">
      <c r="A317" s="1">
        <v>315</v>
      </c>
      <c r="B317" s="2">
        <v>0.024372973</v>
      </c>
      <c r="C317" s="2">
        <v>0.024569245</v>
      </c>
      <c r="D317" s="2">
        <v>0.013908057</v>
      </c>
      <c r="E317" s="2">
        <v>0.011789503</v>
      </c>
      <c r="Q317" s="1" t="s">
        <v>10</v>
      </c>
    </row>
    <row r="318" spans="1:17">
      <c r="A318" s="1">
        <v>316</v>
      </c>
      <c r="B318" s="2">
        <v>0.025563142</v>
      </c>
      <c r="C318" s="2">
        <v>0.0244319160000001</v>
      </c>
      <c r="D318" s="2">
        <v>0.004204551</v>
      </c>
      <c r="E318" s="2">
        <v>0.00371556100000003</v>
      </c>
      <c r="Q318" s="1" t="s">
        <v>10</v>
      </c>
    </row>
    <row r="319" spans="1:17">
      <c r="A319" s="1">
        <v>317</v>
      </c>
      <c r="B319" s="2">
        <v>0.026049777</v>
      </c>
      <c r="C319" s="2">
        <v>0.025458663</v>
      </c>
      <c r="D319" s="2">
        <v>0.026275738</v>
      </c>
      <c r="E319" s="2">
        <v>0.0254821</v>
      </c>
      <c r="Q319" s="1" t="s">
        <v>10</v>
      </c>
    </row>
    <row r="320" spans="1:17">
      <c r="A320" s="1">
        <v>318</v>
      </c>
      <c r="B320" s="2">
        <v>4.29000000010116e-7</v>
      </c>
      <c r="C320" s="2">
        <v>8.29999999979458e-8</v>
      </c>
      <c r="D320" s="2">
        <v>0</v>
      </c>
      <c r="E320" s="2">
        <v>0</v>
      </c>
      <c r="Q320" s="1" t="s">
        <v>10</v>
      </c>
    </row>
    <row r="321" spans="1:17">
      <c r="A321" s="1">
        <v>319</v>
      </c>
      <c r="B321" s="2">
        <v>0.024213181</v>
      </c>
      <c r="C321" s="2">
        <v>0.023426678</v>
      </c>
      <c r="D321" s="2">
        <v>0.023684799</v>
      </c>
      <c r="E321" s="2">
        <v>0.023176272</v>
      </c>
      <c r="Q321" s="1" t="s">
        <v>10</v>
      </c>
    </row>
    <row r="322" spans="1:17">
      <c r="A322" s="1">
        <v>320</v>
      </c>
      <c r="B322" s="2">
        <v>0.021000864</v>
      </c>
      <c r="C322" s="2">
        <v>0.022380606</v>
      </c>
      <c r="D322" s="2">
        <v>0.01472497</v>
      </c>
      <c r="E322" s="2">
        <v>0.012842684</v>
      </c>
      <c r="Q322" s="1" t="s">
        <v>10</v>
      </c>
    </row>
    <row r="323" spans="1:17">
      <c r="A323" s="1">
        <v>321</v>
      </c>
      <c r="B323" s="2">
        <v>0.023671622</v>
      </c>
      <c r="C323" s="2">
        <v>0.024116394</v>
      </c>
      <c r="D323" s="2">
        <v>0.0459041160000001</v>
      </c>
      <c r="E323" s="2">
        <v>0.046433683</v>
      </c>
      <c r="Q323" s="1" t="s">
        <v>10</v>
      </c>
    </row>
    <row r="324" spans="1:17">
      <c r="A324" s="1">
        <v>322</v>
      </c>
      <c r="B324" s="2">
        <v>0.026835191</v>
      </c>
      <c r="C324" s="2">
        <v>0.026589942</v>
      </c>
      <c r="D324" s="2">
        <v>0.016231347</v>
      </c>
      <c r="E324" s="2">
        <v>0.015056695</v>
      </c>
      <c r="Q324" s="1" t="s">
        <v>10</v>
      </c>
    </row>
    <row r="325" spans="1:17">
      <c r="A325" s="1">
        <v>323</v>
      </c>
      <c r="B325" s="2">
        <v>0.00557004699999999</v>
      </c>
      <c r="C325" s="2">
        <v>0.005496841</v>
      </c>
      <c r="D325" s="2">
        <v>0.065036332</v>
      </c>
      <c r="E325" s="2">
        <v>0.076475579</v>
      </c>
      <c r="Q325" s="1" t="s">
        <v>10</v>
      </c>
    </row>
    <row r="326" spans="1:17">
      <c r="A326" s="1">
        <v>324</v>
      </c>
      <c r="B326" s="2">
        <v>0</v>
      </c>
      <c r="C326" s="2">
        <v>0</v>
      </c>
      <c r="D326" s="2">
        <v>0</v>
      </c>
      <c r="E326" s="2">
        <v>0</v>
      </c>
      <c r="Q326" s="1" t="s">
        <v>19</v>
      </c>
    </row>
    <row r="327" spans="1:17">
      <c r="A327" s="1">
        <v>325</v>
      </c>
      <c r="B327" s="2">
        <v>0.014453684</v>
      </c>
      <c r="C327" s="2">
        <v>0.00640013300000003</v>
      </c>
      <c r="D327" s="2">
        <v>0.256115482</v>
      </c>
      <c r="E327" s="2">
        <v>0.357178354</v>
      </c>
      <c r="Q327" s="1" t="s">
        <v>19</v>
      </c>
    </row>
    <row r="328" spans="1:17">
      <c r="A328" s="1">
        <v>326</v>
      </c>
      <c r="B328" s="2">
        <v>0</v>
      </c>
      <c r="C328" s="2">
        <v>0</v>
      </c>
      <c r="D328" s="2">
        <v>0</v>
      </c>
      <c r="E328" s="2">
        <v>0</v>
      </c>
      <c r="Q328" s="1" t="s">
        <v>19</v>
      </c>
    </row>
    <row r="329" spans="1:17">
      <c r="A329" s="1">
        <v>327</v>
      </c>
      <c r="B329" s="2">
        <v>0.019808454</v>
      </c>
      <c r="C329" s="2">
        <v>0.019538792</v>
      </c>
      <c r="D329" s="2">
        <v>0.029346432</v>
      </c>
      <c r="E329" s="2">
        <v>0.028718689</v>
      </c>
      <c r="Q329" s="1" t="s">
        <v>19</v>
      </c>
    </row>
    <row r="330" spans="1:17">
      <c r="A330" s="1">
        <v>328</v>
      </c>
      <c r="B330" s="2">
        <v>0.023143896</v>
      </c>
      <c r="C330" s="2">
        <v>0.022863249</v>
      </c>
      <c r="D330" s="2">
        <v>0.025756105</v>
      </c>
      <c r="E330" s="2">
        <v>0.024592047</v>
      </c>
      <c r="Q330" s="1" t="s">
        <v>19</v>
      </c>
    </row>
    <row r="331" spans="1:17">
      <c r="A331" s="1">
        <v>329</v>
      </c>
      <c r="B331" s="2">
        <v>0.024210854</v>
      </c>
      <c r="C331" s="2">
        <v>0.023672442</v>
      </c>
      <c r="D331" s="2">
        <v>0.12827252</v>
      </c>
      <c r="E331" s="2">
        <v>0.125466103</v>
      </c>
      <c r="Q331" s="1" t="s">
        <v>19</v>
      </c>
    </row>
    <row r="332" spans="1:17">
      <c r="A332" s="1">
        <v>330</v>
      </c>
      <c r="B332" s="2">
        <v>0</v>
      </c>
      <c r="C332" s="2">
        <v>0</v>
      </c>
      <c r="D332" s="2">
        <v>0</v>
      </c>
      <c r="E332" s="2">
        <v>0.833090104</v>
      </c>
      <c r="Q332" s="1" t="s">
        <v>19</v>
      </c>
    </row>
    <row r="333" spans="1:17">
      <c r="A333" s="1">
        <v>331</v>
      </c>
      <c r="B333" s="2">
        <v>0</v>
      </c>
      <c r="C333" s="2">
        <v>0</v>
      </c>
      <c r="D333" s="2">
        <v>0</v>
      </c>
      <c r="E333" s="2">
        <v>0.917712264</v>
      </c>
      <c r="Q333" s="1" t="s">
        <v>19</v>
      </c>
    </row>
    <row r="334" spans="1:17">
      <c r="A334" s="1">
        <v>332</v>
      </c>
      <c r="B334" s="2">
        <v>0.028401989</v>
      </c>
      <c r="C334" s="2">
        <v>0.028034443</v>
      </c>
      <c r="D334" s="2">
        <v>0.015977748</v>
      </c>
      <c r="E334" s="2">
        <v>0.014678728</v>
      </c>
      <c r="Q334" s="1" t="s">
        <v>19</v>
      </c>
    </row>
    <row r="335" spans="1:17">
      <c r="A335" s="1">
        <v>333</v>
      </c>
      <c r="B335" s="2">
        <v>0.026313672</v>
      </c>
      <c r="C335" s="2">
        <v>0.026135731</v>
      </c>
      <c r="D335" s="2">
        <v>0.023974921</v>
      </c>
      <c r="E335" s="2">
        <v>0.022582729</v>
      </c>
      <c r="Q335" s="1" t="s">
        <v>19</v>
      </c>
    </row>
    <row r="336" spans="1:17">
      <c r="A336" s="1">
        <v>334</v>
      </c>
      <c r="B336" s="2">
        <v>0</v>
      </c>
      <c r="C336" s="2">
        <v>0</v>
      </c>
      <c r="D336" s="2">
        <v>0</v>
      </c>
      <c r="E336" s="2">
        <v>0.250302135</v>
      </c>
      <c r="Q336" s="1" t="s">
        <v>19</v>
      </c>
    </row>
    <row r="337" spans="1:17">
      <c r="A337" s="1">
        <v>335</v>
      </c>
      <c r="B337" s="2">
        <v>0.023016666</v>
      </c>
      <c r="C337" s="2">
        <v>0.022540917</v>
      </c>
      <c r="D337" s="2">
        <v>0.0140509</v>
      </c>
      <c r="E337" s="2">
        <v>0.013102817</v>
      </c>
      <c r="Q337" s="1" t="s">
        <v>19</v>
      </c>
    </row>
    <row r="338" spans="1:17">
      <c r="A338" s="1">
        <v>336</v>
      </c>
      <c r="B338" s="2">
        <v>0.023418533</v>
      </c>
      <c r="C338" s="2">
        <v>0.023139643</v>
      </c>
      <c r="D338" s="2">
        <v>0.010595361</v>
      </c>
      <c r="E338" s="2">
        <v>0.00917854899999998</v>
      </c>
      <c r="Q338" s="1" t="s">
        <v>19</v>
      </c>
    </row>
    <row r="339" spans="1:17">
      <c r="A339" s="1">
        <v>337</v>
      </c>
      <c r="B339" s="2">
        <v>0.022290717</v>
      </c>
      <c r="C339" s="2">
        <v>0.02208279</v>
      </c>
      <c r="D339" s="2">
        <v>0.00928270099999995</v>
      </c>
      <c r="E339" s="2">
        <v>0.00840972000000001</v>
      </c>
      <c r="Q339" s="1" t="s">
        <v>19</v>
      </c>
    </row>
    <row r="340" spans="1:17">
      <c r="A340" s="1">
        <v>338</v>
      </c>
      <c r="B340" s="2">
        <v>0.023091935</v>
      </c>
      <c r="C340" s="2">
        <v>0.022865302</v>
      </c>
      <c r="D340" s="2">
        <v>0.00746299499999997</v>
      </c>
      <c r="E340" s="2">
        <v>0.00678346600000002</v>
      </c>
      <c r="Q340" s="1" t="s">
        <v>19</v>
      </c>
    </row>
    <row r="341" spans="1:17">
      <c r="A341" s="1">
        <v>339</v>
      </c>
      <c r="B341" s="2">
        <v>0.022813737</v>
      </c>
      <c r="C341" s="2">
        <v>0.02300734</v>
      </c>
      <c r="D341" s="2">
        <v>0.008220112</v>
      </c>
      <c r="E341" s="2">
        <v>0.00545668399999999</v>
      </c>
      <c r="Q341" s="1" t="s">
        <v>19</v>
      </c>
    </row>
    <row r="342" spans="1:17">
      <c r="A342" s="1">
        <v>340</v>
      </c>
      <c r="B342" s="2">
        <v>0</v>
      </c>
      <c r="C342" s="2">
        <v>0</v>
      </c>
      <c r="D342" s="2">
        <v>0</v>
      </c>
      <c r="E342" s="2">
        <v>1.355876668</v>
      </c>
      <c r="Q342" s="1" t="s">
        <v>19</v>
      </c>
    </row>
    <row r="343" spans="1:17">
      <c r="A343" s="1">
        <v>341</v>
      </c>
      <c r="B343" s="2">
        <v>0</v>
      </c>
      <c r="C343" s="2">
        <v>0</v>
      </c>
      <c r="D343" s="2">
        <v>0</v>
      </c>
      <c r="E343" s="2">
        <v>0.657862258</v>
      </c>
      <c r="Q343" s="1" t="s">
        <v>19</v>
      </c>
    </row>
    <row r="344" spans="1:17">
      <c r="A344" s="1">
        <v>342</v>
      </c>
      <c r="B344" s="2">
        <v>0.027091258</v>
      </c>
      <c r="C344" s="2">
        <v>0.026939061</v>
      </c>
      <c r="D344" s="2">
        <v>0.030967481</v>
      </c>
      <c r="E344" s="2">
        <v>0.027975373</v>
      </c>
      <c r="Q344" s="1" t="s">
        <v>19</v>
      </c>
    </row>
    <row r="345" spans="1:17">
      <c r="A345" s="1">
        <v>343</v>
      </c>
      <c r="B345" s="2">
        <v>1.09999999998479e-8</v>
      </c>
      <c r="C345" s="2">
        <v>-1.17999999998605e-7</v>
      </c>
      <c r="D345" s="2">
        <v>0</v>
      </c>
      <c r="E345" s="2">
        <v>0</v>
      </c>
      <c r="Q345" s="1" t="s">
        <v>19</v>
      </c>
    </row>
    <row r="346" spans="1:17">
      <c r="A346" s="1">
        <v>344</v>
      </c>
      <c r="B346" s="2">
        <v>0.00582238</v>
      </c>
      <c r="C346" s="2">
        <v>0.008894606</v>
      </c>
      <c r="D346" s="2">
        <v>0.007826783</v>
      </c>
      <c r="E346" s="2">
        <v>0.229816547</v>
      </c>
      <c r="Q346" s="1" t="s">
        <v>19</v>
      </c>
    </row>
    <row r="347" spans="1:17">
      <c r="A347" s="1">
        <v>345</v>
      </c>
      <c r="B347" s="2">
        <v>0.025703846</v>
      </c>
      <c r="C347" s="2">
        <v>0.025443148</v>
      </c>
      <c r="D347" s="2">
        <v>0.024083381</v>
      </c>
      <c r="E347" s="2">
        <v>0.023301682</v>
      </c>
      <c r="Q347" s="1" t="s">
        <v>19</v>
      </c>
    </row>
    <row r="348" spans="1:17">
      <c r="A348" s="1">
        <v>346</v>
      </c>
      <c r="B348" s="2">
        <v>0.023186706</v>
      </c>
      <c r="C348" s="2">
        <v>0.022963684</v>
      </c>
      <c r="D348" s="2">
        <v>0.013548984</v>
      </c>
      <c r="E348" s="2">
        <v>0.012528585</v>
      </c>
      <c r="Q348" s="1" t="s">
        <v>19</v>
      </c>
    </row>
    <row r="349" spans="1:17">
      <c r="A349" s="1">
        <v>347</v>
      </c>
      <c r="B349" s="2">
        <v>0.015385426</v>
      </c>
      <c r="C349" s="2">
        <v>0.00859195400000001</v>
      </c>
      <c r="D349" s="2">
        <v>0.275405147</v>
      </c>
      <c r="E349" s="2">
        <v>0.284702103</v>
      </c>
      <c r="Q349" s="1" t="s">
        <v>19</v>
      </c>
    </row>
    <row r="350" spans="1:17">
      <c r="A350" s="1">
        <v>348</v>
      </c>
      <c r="B350" s="2">
        <v>0.022025293</v>
      </c>
      <c r="C350" s="2">
        <v>0.016178084</v>
      </c>
      <c r="D350" s="2">
        <v>0.072355962</v>
      </c>
      <c r="E350" s="2">
        <v>0.094183573</v>
      </c>
      <c r="Q350" s="1" t="s">
        <v>19</v>
      </c>
    </row>
    <row r="351" spans="1:17">
      <c r="A351" s="1">
        <v>349</v>
      </c>
      <c r="B351" s="2">
        <v>0.022906799</v>
      </c>
      <c r="C351" s="2">
        <v>0.017784586</v>
      </c>
      <c r="D351" s="2">
        <v>0.052603844</v>
      </c>
      <c r="E351" s="2">
        <v>0.056460083</v>
      </c>
      <c r="Q351" s="1" t="s">
        <v>19</v>
      </c>
    </row>
    <row r="352" spans="1:17">
      <c r="A352" s="1">
        <v>350</v>
      </c>
      <c r="B352" s="2">
        <v>0</v>
      </c>
      <c r="C352" s="2">
        <v>0</v>
      </c>
      <c r="D352" s="2">
        <v>0</v>
      </c>
      <c r="E352" s="2">
        <v>0.519032292</v>
      </c>
      <c r="Q352" s="1" t="s">
        <v>19</v>
      </c>
    </row>
    <row r="353" spans="1:17">
      <c r="A353" s="1">
        <v>351</v>
      </c>
      <c r="B353" s="2">
        <v>0.026812418</v>
      </c>
      <c r="C353" s="2">
        <v>0.023614407</v>
      </c>
      <c r="D353" s="2">
        <v>0.086455066</v>
      </c>
      <c r="E353" s="2">
        <v>0.080266633</v>
      </c>
      <c r="Q353" s="1" t="s">
        <v>19</v>
      </c>
    </row>
    <row r="354" spans="1:17">
      <c r="A354" s="1">
        <v>352</v>
      </c>
      <c r="B354" s="2">
        <v>0</v>
      </c>
      <c r="C354" s="2">
        <v>0</v>
      </c>
      <c r="D354" s="2">
        <v>0</v>
      </c>
      <c r="E354" s="2">
        <v>1.536854697</v>
      </c>
      <c r="Q354" s="1" t="s">
        <v>19</v>
      </c>
    </row>
    <row r="355" spans="1:17">
      <c r="A355" s="1">
        <v>353</v>
      </c>
      <c r="B355" s="2">
        <v>0.016460021</v>
      </c>
      <c r="C355" s="2">
        <v>0.013693381</v>
      </c>
      <c r="D355" s="2">
        <v>0.124305415</v>
      </c>
      <c r="E355" s="2">
        <v>0.116684876</v>
      </c>
      <c r="Q355" s="1" t="s">
        <v>19</v>
      </c>
    </row>
    <row r="356" spans="1:17">
      <c r="A356" s="1">
        <v>354</v>
      </c>
      <c r="B356" s="2">
        <v>0.00846598200000001</v>
      </c>
      <c r="C356" s="2">
        <v>0.00755430500000001</v>
      </c>
      <c r="D356" s="2">
        <v>0.247234062</v>
      </c>
      <c r="E356" s="2">
        <v>0.308770392</v>
      </c>
      <c r="Q356" s="1" t="s">
        <v>19</v>
      </c>
    </row>
    <row r="357" spans="1:17">
      <c r="A357" s="1">
        <v>355</v>
      </c>
      <c r="B357" s="2">
        <v>0.00522389399999998</v>
      </c>
      <c r="C357" s="2">
        <v>0.00423514999999999</v>
      </c>
      <c r="D357" s="2">
        <v>0.38274652</v>
      </c>
      <c r="E357" s="2">
        <v>0.396446681</v>
      </c>
      <c r="Q357" s="1" t="s">
        <v>19</v>
      </c>
    </row>
    <row r="358" spans="1:17">
      <c r="A358" s="1">
        <v>356</v>
      </c>
      <c r="B358" s="2">
        <v>0.019154787</v>
      </c>
      <c r="C358" s="2">
        <v>0.009668909</v>
      </c>
      <c r="D358" s="2">
        <v>0.176387897</v>
      </c>
      <c r="E358" s="2">
        <v>0.212055146</v>
      </c>
      <c r="Q358" s="1" t="s">
        <v>19</v>
      </c>
    </row>
    <row r="359" spans="1:17">
      <c r="A359" s="1">
        <v>357</v>
      </c>
      <c r="B359" s="2">
        <v>0</v>
      </c>
      <c r="C359" s="2">
        <v>0</v>
      </c>
      <c r="D359" s="2">
        <v>0</v>
      </c>
      <c r="E359" s="2">
        <v>0.795596893</v>
      </c>
      <c r="Q359" s="1" t="s">
        <v>19</v>
      </c>
    </row>
    <row r="360" spans="1:17">
      <c r="A360" s="1">
        <v>358</v>
      </c>
      <c r="B360" s="2">
        <v>0.024424291</v>
      </c>
      <c r="C360" s="2">
        <v>0.022694514</v>
      </c>
      <c r="D360" s="2">
        <v>0.046418787</v>
      </c>
      <c r="E360" s="2">
        <v>0.043263176</v>
      </c>
      <c r="Q360" s="1" t="s">
        <v>19</v>
      </c>
    </row>
    <row r="361" spans="1:17">
      <c r="A361" s="1">
        <v>359</v>
      </c>
      <c r="B361" s="2">
        <v>0.001751085</v>
      </c>
      <c r="C361" s="2">
        <v>0.000736963000000007</v>
      </c>
      <c r="D361" s="2">
        <v>0.308400739</v>
      </c>
      <c r="E361" s="2">
        <v>0.755683947</v>
      </c>
      <c r="Q361" s="1" t="s">
        <v>19</v>
      </c>
    </row>
    <row r="362" spans="1:17">
      <c r="A362" s="1">
        <v>360</v>
      </c>
      <c r="B362" s="2">
        <v>0.011968224</v>
      </c>
      <c r="C362" s="2">
        <v>0.00457849399999999</v>
      </c>
      <c r="D362" s="2">
        <v>0.352192281</v>
      </c>
      <c r="E362" s="2">
        <v>0.410453217</v>
      </c>
      <c r="Q362" s="1" t="s">
        <v>19</v>
      </c>
    </row>
    <row r="363" spans="1:17">
      <c r="A363" s="1">
        <v>361</v>
      </c>
      <c r="B363" s="2">
        <v>0</v>
      </c>
      <c r="C363" s="2">
        <v>0</v>
      </c>
      <c r="D363" s="2">
        <v>0</v>
      </c>
      <c r="E363" s="2">
        <v>0.007646906</v>
      </c>
      <c r="Q363" s="1" t="s">
        <v>19</v>
      </c>
    </row>
    <row r="364" spans="1:17">
      <c r="A364" s="1">
        <v>362</v>
      </c>
      <c r="B364" s="2">
        <v>0</v>
      </c>
      <c r="C364" s="2">
        <v>0</v>
      </c>
      <c r="D364" s="2">
        <v>0</v>
      </c>
      <c r="E364" s="2">
        <v>0</v>
      </c>
      <c r="Q364" s="1" t="s">
        <v>19</v>
      </c>
    </row>
    <row r="365" spans="1:17">
      <c r="A365" s="1">
        <v>363</v>
      </c>
      <c r="B365" s="2">
        <v>0.0193634640000001</v>
      </c>
      <c r="C365" s="2">
        <v>0.016063908</v>
      </c>
      <c r="D365" s="2">
        <v>0.052465475</v>
      </c>
      <c r="E365" s="2">
        <v>0.049093783</v>
      </c>
      <c r="Q365" s="1" t="s">
        <v>19</v>
      </c>
    </row>
    <row r="366" spans="1:17">
      <c r="A366" s="1">
        <v>364</v>
      </c>
      <c r="B366" s="2">
        <v>0.00872473899999998</v>
      </c>
      <c r="C366" s="2">
        <v>0.00732165100000001</v>
      </c>
      <c r="D366" s="2">
        <v>0.198022467</v>
      </c>
      <c r="E366" s="2">
        <v>0.291425527</v>
      </c>
      <c r="Q366" s="1" t="s">
        <v>19</v>
      </c>
    </row>
    <row r="367" spans="1:17">
      <c r="A367" s="1">
        <v>365</v>
      </c>
      <c r="B367" s="2">
        <v>0.000701296000000004</v>
      </c>
      <c r="C367" s="2">
        <v>0.000129856000000005</v>
      </c>
      <c r="D367" s="2">
        <v>0.594963601</v>
      </c>
      <c r="E367" s="2">
        <v>0.933393167</v>
      </c>
      <c r="Q367" s="1" t="s">
        <v>19</v>
      </c>
    </row>
    <row r="368" spans="1:17">
      <c r="A368" s="1">
        <v>366</v>
      </c>
      <c r="B368" s="2">
        <v>0.014346837</v>
      </c>
      <c r="C368" s="2">
        <v>0.00703237600000006</v>
      </c>
      <c r="D368" s="2">
        <v>0.171416667</v>
      </c>
      <c r="E368" s="2">
        <v>0.178172634</v>
      </c>
      <c r="Q368" s="1" t="s">
        <v>19</v>
      </c>
    </row>
    <row r="369" spans="1:17">
      <c r="A369" s="1">
        <v>367</v>
      </c>
      <c r="B369" s="2">
        <v>7.7000000001104e-8</v>
      </c>
      <c r="C369" s="2">
        <v>0.019768633</v>
      </c>
      <c r="D369" s="2">
        <v>0</v>
      </c>
      <c r="E369" s="2">
        <v>0.079163923</v>
      </c>
      <c r="Q369" s="1" t="s">
        <v>19</v>
      </c>
    </row>
    <row r="370" spans="1:17">
      <c r="A370" s="1">
        <v>368</v>
      </c>
      <c r="B370" s="2">
        <v>0.023241871</v>
      </c>
      <c r="C370" s="2">
        <v>0.018867748</v>
      </c>
      <c r="D370" s="2">
        <v>0.050708062</v>
      </c>
      <c r="E370" s="2">
        <v>0.0483041180000001</v>
      </c>
      <c r="Q370" s="1" t="s">
        <v>19</v>
      </c>
    </row>
    <row r="371" spans="1:17">
      <c r="A371" s="1">
        <v>369</v>
      </c>
      <c r="B371" s="2">
        <v>0</v>
      </c>
      <c r="C371" s="2">
        <v>0</v>
      </c>
      <c r="D371" s="2">
        <v>0</v>
      </c>
      <c r="E371" s="2">
        <v>0</v>
      </c>
      <c r="Q371" s="1" t="s">
        <v>19</v>
      </c>
    </row>
    <row r="372" spans="1:17">
      <c r="A372" s="1">
        <v>370</v>
      </c>
      <c r="B372" s="2">
        <v>0</v>
      </c>
      <c r="C372" s="2">
        <v>0.000138329</v>
      </c>
      <c r="D372" s="2">
        <v>0</v>
      </c>
      <c r="E372" s="2">
        <v>0.000140458</v>
      </c>
      <c r="Q372" s="1" t="s">
        <v>19</v>
      </c>
    </row>
    <row r="373" spans="1:17">
      <c r="A373" s="1">
        <v>371</v>
      </c>
      <c r="B373" s="2">
        <v>0</v>
      </c>
      <c r="C373" s="2">
        <v>0</v>
      </c>
      <c r="D373" s="2">
        <v>0</v>
      </c>
      <c r="E373" s="2">
        <v>0</v>
      </c>
      <c r="Q373" s="1" t="s">
        <v>19</v>
      </c>
    </row>
    <row r="374" spans="1:17">
      <c r="A374" s="1">
        <v>372</v>
      </c>
      <c r="B374" s="2">
        <v>0</v>
      </c>
      <c r="C374" s="2">
        <v>0</v>
      </c>
      <c r="D374" s="2">
        <v>0</v>
      </c>
      <c r="E374" s="2">
        <v>0.005587173</v>
      </c>
      <c r="Q374" s="1" t="s">
        <v>19</v>
      </c>
    </row>
    <row r="375" spans="1:17">
      <c r="A375" s="1">
        <v>373</v>
      </c>
      <c r="B375" s="2">
        <v>0.028029615</v>
      </c>
      <c r="C375" s="2">
        <v>0.026936164</v>
      </c>
      <c r="D375" s="2">
        <v>0.04160606</v>
      </c>
      <c r="E375" s="2">
        <v>0.041051708</v>
      </c>
      <c r="Q375" s="1" t="s">
        <v>19</v>
      </c>
    </row>
    <row r="376" spans="1:17">
      <c r="A376" s="1">
        <v>374</v>
      </c>
      <c r="B376" s="2">
        <v>0.024810191</v>
      </c>
      <c r="C376" s="2">
        <v>0.023507343</v>
      </c>
      <c r="D376" s="2">
        <v>0.027136076</v>
      </c>
      <c r="E376" s="2">
        <v>0.026585822</v>
      </c>
      <c r="Q376" s="1" t="s">
        <v>19</v>
      </c>
    </row>
    <row r="377" spans="1:17">
      <c r="A377" s="1">
        <v>375</v>
      </c>
      <c r="B377" s="2">
        <v>0.026972678</v>
      </c>
      <c r="C377" s="2">
        <v>0.0263500659999999</v>
      </c>
      <c r="D377" s="2">
        <v>0.025487806</v>
      </c>
      <c r="E377" s="2">
        <v>0.025239561</v>
      </c>
      <c r="Q377" s="1" t="s">
        <v>19</v>
      </c>
    </row>
    <row r="378" spans="1:17">
      <c r="A378" s="1">
        <v>376</v>
      </c>
      <c r="B378" s="2">
        <v>0.027369359</v>
      </c>
      <c r="C378" s="2">
        <v>0.026704718</v>
      </c>
      <c r="D378" s="2">
        <v>0.029176588</v>
      </c>
      <c r="E378" s="2">
        <v>0.028362273</v>
      </c>
      <c r="Q378" s="1" t="s">
        <v>19</v>
      </c>
    </row>
    <row r="379" spans="1:17">
      <c r="A379" s="1">
        <v>377</v>
      </c>
      <c r="B379" s="2">
        <v>0.026053819</v>
      </c>
      <c r="C379" s="2">
        <v>0.025814597</v>
      </c>
      <c r="D379" s="2">
        <v>0.021837566</v>
      </c>
      <c r="E379" s="2">
        <v>0.02062282</v>
      </c>
      <c r="Q379" s="1" t="s">
        <v>19</v>
      </c>
    </row>
    <row r="380" spans="1:17">
      <c r="A380" s="1">
        <v>378</v>
      </c>
      <c r="B380" s="2">
        <v>0.026428888</v>
      </c>
      <c r="C380" s="2">
        <v>0.026064849</v>
      </c>
      <c r="D380" s="2">
        <v>0.030203497</v>
      </c>
      <c r="E380" s="2">
        <v>0.029478102</v>
      </c>
      <c r="Q380" s="1" t="s">
        <v>19</v>
      </c>
    </row>
    <row r="381" spans="1:17">
      <c r="A381" s="1">
        <v>379</v>
      </c>
      <c r="B381" s="2">
        <v>0.026613926</v>
      </c>
      <c r="C381" s="2">
        <v>0.026473047</v>
      </c>
      <c r="D381" s="2">
        <v>0.013590614</v>
      </c>
      <c r="E381" s="2">
        <v>0.01159366</v>
      </c>
      <c r="Q381" s="1" t="s">
        <v>19</v>
      </c>
    </row>
    <row r="382" spans="1:17">
      <c r="A382" s="1">
        <v>380</v>
      </c>
      <c r="B382" s="2">
        <v>0.016973998</v>
      </c>
      <c r="C382" s="2">
        <v>0.016415449</v>
      </c>
      <c r="D382" s="2">
        <v>0.184384087</v>
      </c>
      <c r="E382" s="2">
        <v>0.238791892</v>
      </c>
      <c r="Q382" s="1" t="s">
        <v>19</v>
      </c>
    </row>
    <row r="383" spans="1:17">
      <c r="A383" s="1">
        <v>381</v>
      </c>
      <c r="B383" s="2">
        <v>0.00583571999999999</v>
      </c>
      <c r="C383" s="2">
        <v>0.003674079</v>
      </c>
      <c r="D383" s="2">
        <v>0.335259355</v>
      </c>
      <c r="E383" s="2">
        <v>0.365182654</v>
      </c>
      <c r="Q383" s="1" t="s">
        <v>19</v>
      </c>
    </row>
    <row r="384" spans="1:17">
      <c r="A384" s="1">
        <v>382</v>
      </c>
      <c r="B384" s="2">
        <v>0</v>
      </c>
      <c r="C384" s="2">
        <v>0</v>
      </c>
      <c r="D384" s="2">
        <v>0</v>
      </c>
      <c r="E384" s="2">
        <v>0.541122994</v>
      </c>
      <c r="Q384" s="1" t="s">
        <v>19</v>
      </c>
    </row>
    <row r="385" spans="1:17">
      <c r="A385" s="1">
        <v>383</v>
      </c>
      <c r="B385" s="2">
        <v>0</v>
      </c>
      <c r="C385" s="2">
        <v>0</v>
      </c>
      <c r="D385" s="2">
        <v>0</v>
      </c>
      <c r="E385" s="2">
        <v>0</v>
      </c>
      <c r="Q385" s="1" t="s">
        <v>19</v>
      </c>
    </row>
    <row r="386" spans="1:17">
      <c r="A386" s="1">
        <v>384</v>
      </c>
      <c r="B386" s="2">
        <v>0</v>
      </c>
      <c r="C386" s="2">
        <v>0</v>
      </c>
      <c r="D386" s="2">
        <v>0</v>
      </c>
      <c r="E386" s="2">
        <v>0</v>
      </c>
      <c r="Q386" s="1" t="s">
        <v>19</v>
      </c>
    </row>
    <row r="387" spans="1:17">
      <c r="A387" s="1">
        <v>385</v>
      </c>
      <c r="B387" s="2">
        <v>0.019316497</v>
      </c>
      <c r="C387" s="2">
        <v>0.016899918</v>
      </c>
      <c r="D387" s="2">
        <v>0.09971095</v>
      </c>
      <c r="E387" s="2">
        <v>0.087415005</v>
      </c>
      <c r="Q387" s="1" t="s">
        <v>19</v>
      </c>
    </row>
    <row r="388" spans="1:17">
      <c r="A388" s="1">
        <v>386</v>
      </c>
      <c r="B388" s="2">
        <v>0.013942176</v>
      </c>
      <c r="C388" s="2">
        <v>0.00849788000000001</v>
      </c>
      <c r="D388" s="2">
        <v>0.084457282</v>
      </c>
      <c r="E388" s="2">
        <v>0.267338675</v>
      </c>
      <c r="Q388" s="1" t="s">
        <v>19</v>
      </c>
    </row>
    <row r="389" spans="1:17">
      <c r="A389" s="1">
        <v>387</v>
      </c>
      <c r="B389" s="2">
        <v>0.023080581</v>
      </c>
      <c r="C389" s="2">
        <v>0.020708549</v>
      </c>
      <c r="D389" s="2">
        <v>0.068740306</v>
      </c>
      <c r="E389" s="2">
        <v>0.065972926</v>
      </c>
      <c r="Q389" s="1" t="s">
        <v>19</v>
      </c>
    </row>
    <row r="390" spans="1:17">
      <c r="A390" s="1">
        <v>388</v>
      </c>
      <c r="B390" s="2">
        <v>0.021752273</v>
      </c>
      <c r="C390" s="2">
        <v>0.021207419</v>
      </c>
      <c r="D390" s="2">
        <v>0.107029689</v>
      </c>
      <c r="E390" s="2">
        <v>0.109339265</v>
      </c>
      <c r="Q390" s="1" t="s">
        <v>19</v>
      </c>
    </row>
    <row r="391" spans="1:17">
      <c r="A391" s="1">
        <v>389</v>
      </c>
      <c r="B391" s="2">
        <v>0</v>
      </c>
      <c r="C391" s="2">
        <v>0</v>
      </c>
      <c r="D391" s="2">
        <v>0</v>
      </c>
      <c r="E391" s="2">
        <v>0</v>
      </c>
      <c r="Q391" s="1" t="s">
        <v>19</v>
      </c>
    </row>
    <row r="392" spans="1:17">
      <c r="A392" s="1">
        <v>390</v>
      </c>
      <c r="B392" s="2">
        <v>0</v>
      </c>
      <c r="C392" s="2">
        <v>0</v>
      </c>
      <c r="D392" s="2">
        <v>0</v>
      </c>
      <c r="E392" s="2">
        <v>0</v>
      </c>
      <c r="Q392" s="1" t="s">
        <v>19</v>
      </c>
    </row>
    <row r="393" spans="1:17">
      <c r="A393" s="1">
        <v>391</v>
      </c>
      <c r="B393" s="2">
        <v>0.027596695</v>
      </c>
      <c r="C393" s="2">
        <v>0.0249459639999999</v>
      </c>
      <c r="D393" s="2">
        <v>0.036397249</v>
      </c>
      <c r="E393" s="2">
        <v>0.034627712</v>
      </c>
      <c r="Q393" s="1" t="s">
        <v>19</v>
      </c>
    </row>
    <row r="394" spans="1:17">
      <c r="A394" s="1">
        <v>392</v>
      </c>
      <c r="B394" s="2">
        <v>0.018713268</v>
      </c>
      <c r="C394" s="2">
        <v>0.014423769</v>
      </c>
      <c r="D394" s="2">
        <v>0.209673283</v>
      </c>
      <c r="E394" s="2">
        <v>0.232031717</v>
      </c>
      <c r="Q394" s="1" t="s">
        <v>19</v>
      </c>
    </row>
    <row r="395" spans="1:17">
      <c r="A395" s="1">
        <v>393</v>
      </c>
      <c r="B395" s="2">
        <v>0.015491084</v>
      </c>
      <c r="C395" s="2">
        <v>0.014416898</v>
      </c>
      <c r="D395" s="2">
        <v>0.195567429</v>
      </c>
      <c r="E395" s="2">
        <v>0.198236766</v>
      </c>
      <c r="Q395" s="1" t="s">
        <v>19</v>
      </c>
    </row>
    <row r="396" spans="1:17">
      <c r="A396" s="1">
        <v>394</v>
      </c>
      <c r="B396" s="2">
        <v>0</v>
      </c>
      <c r="C396" s="2">
        <v>0</v>
      </c>
      <c r="D396" s="2">
        <v>0</v>
      </c>
      <c r="E396" s="2">
        <v>0</v>
      </c>
      <c r="Q396" s="1" t="s">
        <v>19</v>
      </c>
    </row>
    <row r="397" spans="1:17">
      <c r="A397" s="1">
        <v>395</v>
      </c>
      <c r="B397" s="2">
        <v>0.023855833</v>
      </c>
      <c r="C397" s="2">
        <v>0.023011247</v>
      </c>
      <c r="D397" s="2">
        <v>0.105345543</v>
      </c>
      <c r="E397" s="2">
        <v>0.10547472</v>
      </c>
      <c r="Q397" s="1" t="s">
        <v>19</v>
      </c>
    </row>
    <row r="398" spans="1:17">
      <c r="A398" s="1">
        <v>396</v>
      </c>
      <c r="B398" s="2">
        <v>0.017923955</v>
      </c>
      <c r="C398" s="2">
        <v>0.013771085</v>
      </c>
      <c r="D398" s="2">
        <v>0.110876036</v>
      </c>
      <c r="E398" s="2">
        <v>0.112092625</v>
      </c>
      <c r="Q398" s="1" t="s">
        <v>19</v>
      </c>
    </row>
    <row r="399" spans="1:17">
      <c r="A399" s="1">
        <v>397</v>
      </c>
      <c r="B399" s="2">
        <v>0.00799924399999999</v>
      </c>
      <c r="C399" s="2">
        <v>0.00583759699999997</v>
      </c>
      <c r="D399" s="2">
        <v>0.299013773</v>
      </c>
      <c r="E399" s="2">
        <v>0.314888585</v>
      </c>
      <c r="Q399" s="1" t="s">
        <v>19</v>
      </c>
    </row>
    <row r="400" spans="1:17">
      <c r="A400" s="1">
        <v>398</v>
      </c>
      <c r="B400" s="2">
        <v>0.003393836</v>
      </c>
      <c r="C400" s="2">
        <v>0.002504321</v>
      </c>
      <c r="D400" s="2">
        <v>0.360955992</v>
      </c>
      <c r="E400" s="2">
        <v>0.391963373</v>
      </c>
      <c r="Q400" s="1" t="s">
        <v>19</v>
      </c>
    </row>
    <row r="401" spans="1:17">
      <c r="A401" s="1">
        <v>399</v>
      </c>
      <c r="B401" s="2">
        <v>0.017159761</v>
      </c>
      <c r="C401" s="2">
        <v>0.016847776</v>
      </c>
      <c r="D401" s="2">
        <v>0.104460381</v>
      </c>
      <c r="E401" s="2">
        <v>0.104721483</v>
      </c>
      <c r="Q401" s="1" t="s">
        <v>19</v>
      </c>
    </row>
    <row r="402" spans="1:17">
      <c r="A402" s="1">
        <v>400</v>
      </c>
      <c r="B402" s="2">
        <v>0.011856946</v>
      </c>
      <c r="C402" s="2">
        <v>0.00954903000000001</v>
      </c>
      <c r="D402" s="2">
        <v>0.196108276</v>
      </c>
      <c r="E402" s="2">
        <v>0.19590791</v>
      </c>
      <c r="Q402" s="1" t="s">
        <v>19</v>
      </c>
    </row>
    <row r="403" spans="1:17">
      <c r="A403" s="1">
        <v>401</v>
      </c>
      <c r="B403" s="2">
        <v>0.024693774</v>
      </c>
      <c r="C403" s="2">
        <v>0.024445288</v>
      </c>
      <c r="D403" s="2">
        <v>0.013065438</v>
      </c>
      <c r="E403" s="2">
        <v>0.012085395</v>
      </c>
      <c r="Q403" s="1" t="s">
        <v>19</v>
      </c>
    </row>
    <row r="404" spans="1:17">
      <c r="A404" s="1">
        <v>402</v>
      </c>
      <c r="B404" s="2">
        <v>0.02408199</v>
      </c>
      <c r="C404" s="2">
        <v>0.023694026</v>
      </c>
      <c r="D404" s="2">
        <v>0.00663451799999998</v>
      </c>
      <c r="E404" s="2">
        <v>0.00617645</v>
      </c>
      <c r="Q404" s="1" t="s">
        <v>19</v>
      </c>
    </row>
    <row r="405" spans="1:17">
      <c r="A405" s="1">
        <v>403</v>
      </c>
      <c r="B405" s="2">
        <v>0.021321686</v>
      </c>
      <c r="C405" s="2">
        <v>0.021142026</v>
      </c>
      <c r="D405" s="2">
        <v>0.015664267</v>
      </c>
      <c r="E405" s="2">
        <v>0.013823646</v>
      </c>
      <c r="Q405" s="1" t="s">
        <v>19</v>
      </c>
    </row>
    <row r="406" spans="1:17">
      <c r="A406" s="1">
        <v>404</v>
      </c>
      <c r="B406" s="2">
        <v>0.02653916</v>
      </c>
      <c r="C406" s="2">
        <v>0.02639756</v>
      </c>
      <c r="D406" s="2">
        <v>0.025186294</v>
      </c>
      <c r="E406" s="2">
        <v>0.024557163</v>
      </c>
      <c r="Q406" s="1" t="s">
        <v>19</v>
      </c>
    </row>
    <row r="407" spans="1:17">
      <c r="A407" s="1">
        <v>405</v>
      </c>
      <c r="B407" s="2">
        <v>0.025879272</v>
      </c>
      <c r="C407" s="2">
        <v>0.025572669</v>
      </c>
      <c r="D407" s="2">
        <v>0.00706227799999998</v>
      </c>
      <c r="E407" s="2">
        <v>0.006422651</v>
      </c>
      <c r="Q407" s="1" t="s">
        <v>19</v>
      </c>
    </row>
    <row r="408" spans="1:17">
      <c r="A408" s="1">
        <v>406</v>
      </c>
      <c r="B408" s="2">
        <v>0.024301693</v>
      </c>
      <c r="C408" s="2">
        <v>0.025017912</v>
      </c>
      <c r="D408" s="2">
        <v>0.014795077</v>
      </c>
      <c r="E408" s="2">
        <v>0.01071674</v>
      </c>
      <c r="Q408" s="1" t="s">
        <v>19</v>
      </c>
    </row>
    <row r="409" spans="1:17">
      <c r="A409" s="1">
        <v>407</v>
      </c>
      <c r="B409" s="2">
        <v>0.024581733</v>
      </c>
      <c r="C409" s="2">
        <v>0.010580513</v>
      </c>
      <c r="D409" s="2">
        <v>0.085785269</v>
      </c>
      <c r="E409" s="2">
        <v>0.123173422</v>
      </c>
      <c r="Q409" s="1" t="s">
        <v>19</v>
      </c>
    </row>
    <row r="410" spans="1:17">
      <c r="A410" s="1">
        <v>408</v>
      </c>
      <c r="B410" s="2">
        <v>0.015057664</v>
      </c>
      <c r="C410" s="2">
        <v>0.00272900599999998</v>
      </c>
      <c r="D410" s="2">
        <v>0.150441838</v>
      </c>
      <c r="E410" s="2">
        <v>0.200542813</v>
      </c>
      <c r="Q410" s="1" t="s">
        <v>19</v>
      </c>
    </row>
    <row r="411" spans="1:17">
      <c r="A411" s="1">
        <v>409</v>
      </c>
      <c r="B411" s="2">
        <v>0.0230692379999999</v>
      </c>
      <c r="C411" s="2">
        <v>0.019499694</v>
      </c>
      <c r="D411" s="2">
        <v>0.018189503</v>
      </c>
      <c r="E411" s="2">
        <v>0.017762531</v>
      </c>
      <c r="Q411" s="1" t="s">
        <v>19</v>
      </c>
    </row>
    <row r="412" spans="1:17">
      <c r="A412" s="1">
        <v>410</v>
      </c>
      <c r="B412" s="2">
        <v>0.025362515</v>
      </c>
      <c r="C412" s="2">
        <v>0.023426198</v>
      </c>
      <c r="D412" s="2">
        <v>0.035074804</v>
      </c>
      <c r="E412" s="2">
        <v>0.038667148</v>
      </c>
      <c r="Q412" s="1" t="s">
        <v>19</v>
      </c>
    </row>
    <row r="413" spans="1:17">
      <c r="A413" s="1">
        <v>411</v>
      </c>
      <c r="B413" s="2">
        <v>0.025551868</v>
      </c>
      <c r="C413" s="2">
        <v>0.022071443</v>
      </c>
      <c r="D413" s="2">
        <v>0.034583478</v>
      </c>
      <c r="E413" s="2">
        <v>0.033647861</v>
      </c>
      <c r="Q413" s="1" t="s">
        <v>19</v>
      </c>
    </row>
    <row r="414" spans="1:17">
      <c r="A414" s="1">
        <v>412</v>
      </c>
      <c r="B414" s="2">
        <v>0.027663203</v>
      </c>
      <c r="C414" s="2">
        <v>0.025736908</v>
      </c>
      <c r="D414" s="2">
        <v>0.021001094</v>
      </c>
      <c r="E414" s="2">
        <v>0.020307349</v>
      </c>
      <c r="Q414" s="1" t="s">
        <v>19</v>
      </c>
    </row>
    <row r="415" spans="1:17">
      <c r="A415" s="1">
        <v>413</v>
      </c>
      <c r="B415" s="2">
        <v>0.027820491</v>
      </c>
      <c r="C415" s="2">
        <v>0.023771199</v>
      </c>
      <c r="D415" s="2">
        <v>0.019375692</v>
      </c>
      <c r="E415" s="2">
        <v>0.018080669</v>
      </c>
      <c r="Q415" s="1" t="s">
        <v>19</v>
      </c>
    </row>
    <row r="416" spans="1:17">
      <c r="A416" s="1">
        <v>414</v>
      </c>
      <c r="B416" s="2">
        <v>0.0197888960000001</v>
      </c>
      <c r="C416" s="2">
        <v>0.013556296</v>
      </c>
      <c r="D416" s="2">
        <v>0.054618451</v>
      </c>
      <c r="E416" s="2">
        <v>0.0543366679999999</v>
      </c>
      <c r="Q416" s="1" t="s">
        <v>19</v>
      </c>
    </row>
    <row r="417" spans="1:17">
      <c r="A417" s="1">
        <v>415</v>
      </c>
      <c r="B417" s="2">
        <v>0.011324831</v>
      </c>
      <c r="C417" s="2">
        <v>0.01495231</v>
      </c>
      <c r="D417" s="2">
        <v>0.022489014</v>
      </c>
      <c r="E417" s="2">
        <v>0.036935328</v>
      </c>
      <c r="Q417" s="1" t="s">
        <v>19</v>
      </c>
    </row>
    <row r="418" spans="1:17">
      <c r="A418" s="1">
        <v>416</v>
      </c>
      <c r="B418" s="2">
        <v>0</v>
      </c>
      <c r="C418" s="2">
        <v>0.000269567</v>
      </c>
      <c r="D418" s="2">
        <v>0</v>
      </c>
      <c r="E418" s="2">
        <v>0.002165415</v>
      </c>
      <c r="Q418" s="1" t="s">
        <v>19</v>
      </c>
    </row>
    <row r="419" spans="1:17">
      <c r="A419" s="1">
        <v>417</v>
      </c>
      <c r="B419" s="2">
        <v>0</v>
      </c>
      <c r="C419" s="2">
        <v>3.03000000000109e-7</v>
      </c>
      <c r="D419" s="2">
        <v>0</v>
      </c>
      <c r="E419" s="2">
        <v>0</v>
      </c>
      <c r="Q419" s="1" t="s">
        <v>19</v>
      </c>
    </row>
    <row r="420" spans="1:17">
      <c r="A420" s="1">
        <v>418</v>
      </c>
      <c r="B420" s="2">
        <v>0</v>
      </c>
      <c r="C420" s="2">
        <v>0.00116527500000001</v>
      </c>
      <c r="D420" s="2">
        <v>0</v>
      </c>
      <c r="E420" s="2">
        <v>0.00125952400000001</v>
      </c>
      <c r="Q420" s="1" t="s">
        <v>19</v>
      </c>
    </row>
    <row r="421" spans="1:17">
      <c r="A421" s="1">
        <v>419</v>
      </c>
      <c r="B421" s="2">
        <v>0.024964115</v>
      </c>
      <c r="C421" s="2">
        <v>0.023992181</v>
      </c>
      <c r="D421" s="2">
        <v>0.031999731</v>
      </c>
      <c r="E421" s="2">
        <v>0.02913768</v>
      </c>
      <c r="Q421" s="1" t="s">
        <v>19</v>
      </c>
    </row>
    <row r="422" spans="1:17">
      <c r="A422" s="1">
        <v>420</v>
      </c>
      <c r="B422" s="2">
        <v>0.025813774</v>
      </c>
      <c r="C422" s="2">
        <v>0.025794525</v>
      </c>
      <c r="D422" s="2">
        <v>0.007588119</v>
      </c>
      <c r="E422" s="2">
        <v>0.006686845</v>
      </c>
      <c r="Q422" s="1" t="s">
        <v>19</v>
      </c>
    </row>
    <row r="423" spans="1:17">
      <c r="A423" s="1">
        <v>421</v>
      </c>
      <c r="B423" s="2">
        <v>3.92859999999999e-5</v>
      </c>
      <c r="C423" s="2">
        <v>2.22599999999992e-6</v>
      </c>
      <c r="D423" s="2">
        <v>0.007819351</v>
      </c>
      <c r="E423" s="2">
        <v>0.115206558</v>
      </c>
      <c r="Q423" s="1" t="s">
        <v>19</v>
      </c>
    </row>
    <row r="424" spans="1:17">
      <c r="A424" s="1">
        <v>422</v>
      </c>
      <c r="B424" s="2">
        <v>0.015753732</v>
      </c>
      <c r="C424" s="2">
        <v>0.013230557</v>
      </c>
      <c r="D424" s="2">
        <v>0.177507547</v>
      </c>
      <c r="E424" s="2">
        <v>0.288783049</v>
      </c>
      <c r="Q424" s="1" t="s">
        <v>19</v>
      </c>
    </row>
    <row r="425" spans="1:17">
      <c r="A425" s="1">
        <v>423</v>
      </c>
      <c r="B425" s="2">
        <v>0.022362262</v>
      </c>
      <c r="C425" s="2">
        <v>0.022553682</v>
      </c>
      <c r="D425" s="2">
        <v>0.017623805</v>
      </c>
      <c r="E425" s="2">
        <v>0.015050081</v>
      </c>
      <c r="Q425" s="1" t="s">
        <v>19</v>
      </c>
    </row>
    <row r="426" spans="1:17">
      <c r="A426" s="1">
        <v>424</v>
      </c>
      <c r="B426" s="2">
        <v>0.024087103</v>
      </c>
      <c r="C426" s="2">
        <v>0.024623897</v>
      </c>
      <c r="D426" s="2">
        <v>0.011861779</v>
      </c>
      <c r="E426" s="2">
        <v>0.010424118</v>
      </c>
      <c r="Q426" s="1" t="s">
        <v>19</v>
      </c>
    </row>
    <row r="427" spans="1:17">
      <c r="A427" s="1">
        <v>425</v>
      </c>
      <c r="B427" s="2">
        <v>0.025959365</v>
      </c>
      <c r="C427" s="2">
        <v>0.025715789</v>
      </c>
      <c r="D427" s="2">
        <v>0.00946271100000001</v>
      </c>
      <c r="E427" s="2">
        <v>0.008242794</v>
      </c>
      <c r="Q427" s="1" t="s">
        <v>19</v>
      </c>
    </row>
    <row r="428" spans="1:17">
      <c r="A428" s="1">
        <v>426</v>
      </c>
      <c r="B428" s="2">
        <v>0.026624859</v>
      </c>
      <c r="C428" s="2">
        <v>0.025893452</v>
      </c>
      <c r="D428" s="2">
        <v>0.00948382799999997</v>
      </c>
      <c r="E428" s="2">
        <v>0.00893625399999998</v>
      </c>
      <c r="Q428" s="1" t="s">
        <v>19</v>
      </c>
    </row>
    <row r="429" spans="1:17">
      <c r="A429" s="1">
        <v>427</v>
      </c>
      <c r="B429" s="2">
        <v>0.026913587</v>
      </c>
      <c r="C429" s="2">
        <v>0.026361824</v>
      </c>
      <c r="D429" s="2">
        <v>0.010064242</v>
      </c>
      <c r="E429" s="2">
        <v>0.00947505399999998</v>
      </c>
      <c r="Q429" s="1" t="s">
        <v>19</v>
      </c>
    </row>
    <row r="430" spans="1:17">
      <c r="A430" s="1">
        <v>428</v>
      </c>
      <c r="B430" s="2">
        <v>0.013318947</v>
      </c>
      <c r="C430" s="2">
        <v>0.011814347</v>
      </c>
      <c r="D430" s="2">
        <v>0.167253818</v>
      </c>
      <c r="E430" s="2">
        <v>0.161996118</v>
      </c>
      <c r="Q430" s="1" t="s">
        <v>19</v>
      </c>
    </row>
    <row r="431" spans="1:17">
      <c r="A431" s="1">
        <v>429</v>
      </c>
      <c r="B431" s="2">
        <v>0.023236176</v>
      </c>
      <c r="C431" s="2">
        <v>0.025357669</v>
      </c>
      <c r="D431" s="2">
        <v>0.037483453</v>
      </c>
      <c r="E431" s="2">
        <v>0.046303202</v>
      </c>
      <c r="Q431" s="1" t="s">
        <v>19</v>
      </c>
    </row>
    <row r="432" spans="1:17">
      <c r="A432" s="1">
        <v>430</v>
      </c>
      <c r="B432" s="2">
        <v>0.023847252</v>
      </c>
      <c r="C432" s="2">
        <v>0.0233115149999999</v>
      </c>
      <c r="D432" s="2">
        <v>0.016675578</v>
      </c>
      <c r="E432" s="2">
        <v>0.015988068</v>
      </c>
      <c r="Q432" s="1" t="s">
        <v>19</v>
      </c>
    </row>
    <row r="433" spans="1:17">
      <c r="A433" s="1">
        <v>431</v>
      </c>
      <c r="B433" s="2">
        <v>0.025484382</v>
      </c>
      <c r="C433" s="2">
        <v>0.025029957</v>
      </c>
      <c r="D433" s="2">
        <v>0.017507933</v>
      </c>
      <c r="E433" s="2">
        <v>0.016538705</v>
      </c>
      <c r="Q433" s="1" t="s">
        <v>19</v>
      </c>
    </row>
    <row r="434" spans="1:17">
      <c r="A434" s="1">
        <v>432</v>
      </c>
      <c r="B434" s="2">
        <v>0.023429827</v>
      </c>
      <c r="C434" s="2">
        <v>0.022920417</v>
      </c>
      <c r="D434" s="2">
        <v>0.01265914</v>
      </c>
      <c r="E434" s="2">
        <v>0.011658264</v>
      </c>
      <c r="Q434" s="1" t="s">
        <v>19</v>
      </c>
    </row>
    <row r="435" spans="1:17">
      <c r="A435" s="1">
        <v>433</v>
      </c>
      <c r="B435" s="2">
        <v>0.023363543</v>
      </c>
      <c r="C435" s="2">
        <v>0.02314384</v>
      </c>
      <c r="D435" s="2">
        <v>0.02783996</v>
      </c>
      <c r="E435" s="2">
        <v>0.027291254</v>
      </c>
      <c r="Q435" s="1" t="s">
        <v>19</v>
      </c>
    </row>
    <row r="436" spans="1:17">
      <c r="A436" s="1">
        <v>434</v>
      </c>
      <c r="B436" s="2">
        <v>0.025966721</v>
      </c>
      <c r="C436" s="2">
        <v>0.025880839</v>
      </c>
      <c r="D436" s="2">
        <v>0.012180014</v>
      </c>
      <c r="E436" s="2">
        <v>0.010783233</v>
      </c>
      <c r="Q436" s="1" t="s">
        <v>19</v>
      </c>
    </row>
    <row r="437" spans="1:17">
      <c r="A437" s="1">
        <v>435</v>
      </c>
      <c r="B437" s="2">
        <v>0</v>
      </c>
      <c r="C437" s="2">
        <v>0</v>
      </c>
      <c r="D437" s="2">
        <v>0.168187988</v>
      </c>
      <c r="E437" s="2">
        <v>0.346681918</v>
      </c>
      <c r="Q437" s="1" t="s">
        <v>19</v>
      </c>
    </row>
    <row r="438" spans="1:17">
      <c r="A438" s="1">
        <v>436</v>
      </c>
      <c r="B438" s="2">
        <v>0.00589444</v>
      </c>
      <c r="C438" s="2">
        <v>0.00364160299999999</v>
      </c>
      <c r="D438" s="2">
        <v>0.394113603</v>
      </c>
      <c r="E438" s="2">
        <v>0.417870616</v>
      </c>
      <c r="Q438" s="1" t="s">
        <v>19</v>
      </c>
    </row>
    <row r="439" spans="1:17">
      <c r="A439" s="1">
        <v>437</v>
      </c>
      <c r="B439" s="2">
        <v>0.00897620100000002</v>
      </c>
      <c r="C439" s="2">
        <v>0.00459566300000003</v>
      </c>
      <c r="D439" s="2">
        <v>0.165841811</v>
      </c>
      <c r="E439" s="2">
        <v>0.169293712</v>
      </c>
      <c r="Q439" s="1" t="s">
        <v>19</v>
      </c>
    </row>
    <row r="440" spans="1:17">
      <c r="A440" s="1">
        <v>438</v>
      </c>
      <c r="B440" s="2">
        <v>0.012808427</v>
      </c>
      <c r="C440" s="2">
        <v>0.00112877299999997</v>
      </c>
      <c r="D440" s="2">
        <v>0.482850202</v>
      </c>
      <c r="E440" s="2">
        <v>1.335344304</v>
      </c>
      <c r="Q440" s="1" t="s">
        <v>19</v>
      </c>
    </row>
    <row r="441" spans="1:17">
      <c r="A441" s="1">
        <v>439</v>
      </c>
      <c r="B441" s="2">
        <v>0.011760162</v>
      </c>
      <c r="C441" s="2">
        <v>0.00677885900000003</v>
      </c>
      <c r="D441" s="2">
        <v>0.164669588</v>
      </c>
      <c r="E441" s="2">
        <v>0.15589178</v>
      </c>
      <c r="Q441" s="1" t="s">
        <v>19</v>
      </c>
    </row>
    <row r="442" spans="1:17">
      <c r="A442" s="1">
        <v>440</v>
      </c>
      <c r="B442" s="2">
        <v>0.018886179</v>
      </c>
      <c r="C442" s="2">
        <v>0.011848363</v>
      </c>
      <c r="D442" s="2">
        <v>0.11985221</v>
      </c>
      <c r="E442" s="2">
        <v>0.123165983</v>
      </c>
      <c r="Q442" s="1" t="s">
        <v>19</v>
      </c>
    </row>
    <row r="443" spans="1:17">
      <c r="A443" s="1">
        <v>441</v>
      </c>
      <c r="B443" s="2">
        <v>0.026734378</v>
      </c>
      <c r="C443" s="2">
        <v>0.026497652</v>
      </c>
      <c r="D443" s="2">
        <v>0.012000734</v>
      </c>
      <c r="E443" s="2">
        <v>0.010861177</v>
      </c>
      <c r="Q443" s="1" t="s">
        <v>19</v>
      </c>
    </row>
    <row r="444" spans="1:17">
      <c r="A444" s="1">
        <v>442</v>
      </c>
      <c r="B444" s="2">
        <v>0.015894164</v>
      </c>
      <c r="C444" s="2">
        <v>0.01170921</v>
      </c>
      <c r="D444" s="2">
        <v>0.115393741</v>
      </c>
      <c r="E444" s="2">
        <v>0.11495516</v>
      </c>
      <c r="Q444" s="1" t="s">
        <v>19</v>
      </c>
    </row>
    <row r="445" spans="1:17">
      <c r="A445" s="1">
        <v>443</v>
      </c>
      <c r="B445" s="2">
        <v>0.0167789</v>
      </c>
      <c r="C445" s="2">
        <v>0.016549317</v>
      </c>
      <c r="D445" s="2">
        <v>0.157309177</v>
      </c>
      <c r="E445" s="2">
        <v>0.171979812</v>
      </c>
      <c r="Q445" s="1" t="s">
        <v>19</v>
      </c>
    </row>
    <row r="446" spans="1:17">
      <c r="A446" s="1">
        <v>444</v>
      </c>
      <c r="B446" s="2">
        <v>0.015754419</v>
      </c>
      <c r="C446" s="2">
        <v>0.018049973</v>
      </c>
      <c r="D446" s="2">
        <v>0.021588054</v>
      </c>
      <c r="E446" s="2">
        <v>0.025118193</v>
      </c>
      <c r="Q446" s="1" t="s">
        <v>19</v>
      </c>
    </row>
    <row r="447" spans="1:17">
      <c r="A447" s="1">
        <v>445</v>
      </c>
      <c r="B447" s="2">
        <v>0</v>
      </c>
      <c r="C447" s="2">
        <v>0</v>
      </c>
      <c r="D447" s="2">
        <v>0</v>
      </c>
      <c r="E447" s="2">
        <v>0</v>
      </c>
      <c r="Q447" s="1" t="s">
        <v>19</v>
      </c>
    </row>
    <row r="448" spans="1:17">
      <c r="A448" s="1">
        <v>446</v>
      </c>
      <c r="B448" s="2">
        <v>0</v>
      </c>
      <c r="C448" s="2">
        <v>0</v>
      </c>
      <c r="D448" s="2">
        <v>0</v>
      </c>
      <c r="E448" s="2">
        <v>0</v>
      </c>
      <c r="Q448" s="1" t="s">
        <v>19</v>
      </c>
    </row>
    <row r="449" spans="1:17">
      <c r="A449" s="1">
        <v>447</v>
      </c>
      <c r="B449" s="2">
        <v>0.026173381</v>
      </c>
      <c r="C449" s="2">
        <v>0.00447116400000003</v>
      </c>
      <c r="D449" s="2">
        <v>0.071314279</v>
      </c>
      <c r="E449" s="2">
        <v>0.143482021</v>
      </c>
      <c r="Q449" s="1" t="s">
        <v>19</v>
      </c>
    </row>
    <row r="450" spans="1:17">
      <c r="A450" s="1">
        <v>448</v>
      </c>
      <c r="B450" s="2">
        <v>0.028721278</v>
      </c>
      <c r="C450" s="2">
        <v>0.028160549</v>
      </c>
      <c r="D450" s="2">
        <v>0.020902217</v>
      </c>
      <c r="E450" s="2">
        <v>0.020194523</v>
      </c>
      <c r="Q450" s="1" t="s">
        <v>19</v>
      </c>
    </row>
    <row r="451" spans="1:17">
      <c r="A451" s="1">
        <v>449</v>
      </c>
      <c r="B451" s="2">
        <v>0.027473402</v>
      </c>
      <c r="C451" s="2">
        <v>0.027271059</v>
      </c>
      <c r="D451" s="2">
        <v>0.043464054</v>
      </c>
      <c r="E451" s="2">
        <v>0.044326178</v>
      </c>
      <c r="Q451" s="1" t="s">
        <v>19</v>
      </c>
    </row>
    <row r="452" spans="1:17">
      <c r="A452" s="1">
        <v>450</v>
      </c>
      <c r="B452" s="2">
        <v>0.027932125</v>
      </c>
      <c r="C452" s="2">
        <v>0.027644543</v>
      </c>
      <c r="D452" s="2">
        <v>0.016475426</v>
      </c>
      <c r="E452" s="2">
        <v>0.015671626</v>
      </c>
      <c r="Q452" s="1" t="s">
        <v>19</v>
      </c>
    </row>
    <row r="453" spans="1:17">
      <c r="A453" s="1">
        <v>451</v>
      </c>
      <c r="B453" s="2">
        <v>0.025994809</v>
      </c>
      <c r="C453" s="2">
        <v>0.025875901</v>
      </c>
      <c r="D453" s="2">
        <v>0.021515728</v>
      </c>
      <c r="E453" s="2">
        <v>0.020495361</v>
      </c>
      <c r="Q453" s="1" t="s">
        <v>19</v>
      </c>
    </row>
    <row r="454" spans="1:17">
      <c r="A454" s="1">
        <v>452</v>
      </c>
      <c r="B454" s="2">
        <v>0.026239603</v>
      </c>
      <c r="C454" s="2">
        <v>0.025828327</v>
      </c>
      <c r="D454" s="2">
        <v>0.024465705</v>
      </c>
      <c r="E454" s="2">
        <v>0.024049399</v>
      </c>
      <c r="Q454" s="1" t="s">
        <v>19</v>
      </c>
    </row>
    <row r="455" spans="1:17">
      <c r="A455" s="1">
        <v>453</v>
      </c>
      <c r="B455" s="2">
        <v>0.027821987</v>
      </c>
      <c r="C455" s="2">
        <v>0.027614197</v>
      </c>
      <c r="D455" s="2">
        <v>0.009581334</v>
      </c>
      <c r="E455" s="2">
        <v>0.00869983400000002</v>
      </c>
      <c r="Q455" s="1" t="s">
        <v>19</v>
      </c>
    </row>
    <row r="456" spans="1:17">
      <c r="A456" s="1">
        <v>454</v>
      </c>
      <c r="B456" s="2">
        <v>0.026052388</v>
      </c>
      <c r="C456" s="2">
        <v>0.025445692</v>
      </c>
      <c r="D456" s="2">
        <v>0.035252044</v>
      </c>
      <c r="E456" s="2">
        <v>0.034131282</v>
      </c>
      <c r="Q456" s="1" t="s">
        <v>19</v>
      </c>
    </row>
    <row r="457" spans="1:17">
      <c r="A457" s="1">
        <v>455</v>
      </c>
      <c r="B457" s="2">
        <v>0.021317782</v>
      </c>
      <c r="C457" s="2">
        <v>0.022230336</v>
      </c>
      <c r="D457" s="2">
        <v>0.04179704</v>
      </c>
      <c r="E457" s="2">
        <v>0.045830942</v>
      </c>
      <c r="Q457" s="1" t="s">
        <v>19</v>
      </c>
    </row>
    <row r="458" spans="1:17">
      <c r="A458" s="1">
        <v>456</v>
      </c>
      <c r="B458" s="2">
        <v>0.026386343</v>
      </c>
      <c r="C458" s="2">
        <v>0.026033443</v>
      </c>
      <c r="D458" s="2">
        <v>0.027869582</v>
      </c>
      <c r="E458" s="2">
        <v>0.027521556</v>
      </c>
      <c r="Q458" s="1" t="s">
        <v>19</v>
      </c>
    </row>
    <row r="459" spans="1:17">
      <c r="A459" s="1">
        <v>457</v>
      </c>
      <c r="B459" s="2">
        <v>0.029077372</v>
      </c>
      <c r="C459" s="2">
        <v>0.0288078510000001</v>
      </c>
      <c r="D459" s="2">
        <v>0.00869673199999998</v>
      </c>
      <c r="E459" s="2">
        <v>0.00792672900000002</v>
      </c>
      <c r="Q459" s="1" t="s">
        <v>19</v>
      </c>
    </row>
    <row r="460" spans="1:17">
      <c r="A460" s="1">
        <v>458</v>
      </c>
      <c r="B460" s="2">
        <v>0.025114206</v>
      </c>
      <c r="C460" s="2">
        <v>0.025201492</v>
      </c>
      <c r="D460" s="2">
        <v>0.069143717</v>
      </c>
      <c r="E460" s="2">
        <v>0.073286413</v>
      </c>
      <c r="Q460" s="1" t="s">
        <v>19</v>
      </c>
    </row>
    <row r="461" spans="1:17">
      <c r="A461" s="1">
        <v>459</v>
      </c>
      <c r="B461" s="2">
        <v>0.026629429</v>
      </c>
      <c r="C461" s="2">
        <v>0.026127771</v>
      </c>
      <c r="D461" s="2">
        <v>0.020194453</v>
      </c>
      <c r="E461" s="2">
        <v>0.019455933</v>
      </c>
      <c r="Q461" s="1" t="s">
        <v>19</v>
      </c>
    </row>
    <row r="462" spans="1:17">
      <c r="A462" s="1">
        <v>460</v>
      </c>
      <c r="B462" s="2">
        <v>0.02741312</v>
      </c>
      <c r="C462" s="2">
        <v>0.02720271</v>
      </c>
      <c r="D462" s="2">
        <v>0.018355544</v>
      </c>
      <c r="E462" s="2">
        <v>0.017451905</v>
      </c>
      <c r="Q462" s="1" t="s">
        <v>19</v>
      </c>
    </row>
    <row r="463" spans="1:17">
      <c r="A463" s="1">
        <v>461</v>
      </c>
      <c r="B463" s="2">
        <v>0.023264054</v>
      </c>
      <c r="C463" s="2">
        <v>0.021462063</v>
      </c>
      <c r="D463" s="2">
        <v>0.084646624</v>
      </c>
      <c r="E463" s="2">
        <v>0.0893409279999999</v>
      </c>
      <c r="Q463" s="1" t="s">
        <v>19</v>
      </c>
    </row>
    <row r="464" spans="1:17">
      <c r="A464" s="1">
        <v>462</v>
      </c>
      <c r="B464" s="2">
        <v>0</v>
      </c>
      <c r="C464" s="2">
        <v>0</v>
      </c>
      <c r="D464" s="2">
        <v>0</v>
      </c>
      <c r="E464" s="2">
        <v>0</v>
      </c>
      <c r="Q464" s="1" t="s">
        <v>19</v>
      </c>
    </row>
    <row r="465" spans="1:17">
      <c r="A465" s="1">
        <v>463</v>
      </c>
      <c r="B465" s="2">
        <v>0.021491734</v>
      </c>
      <c r="C465" s="2">
        <v>0.020977497</v>
      </c>
      <c r="D465" s="2">
        <v>0.101470565</v>
      </c>
      <c r="E465" s="2">
        <v>0.104981117</v>
      </c>
      <c r="Q465" s="1" t="s">
        <v>19</v>
      </c>
    </row>
    <row r="466" spans="1:17">
      <c r="A466" s="1">
        <v>464</v>
      </c>
      <c r="B466" s="2">
        <v>0</v>
      </c>
      <c r="C466" s="2">
        <v>0</v>
      </c>
      <c r="D466" s="2">
        <v>0</v>
      </c>
      <c r="E466" s="2">
        <v>1.423856472</v>
      </c>
      <c r="Q466" s="1" t="s">
        <v>19</v>
      </c>
    </row>
    <row r="467" spans="1:17">
      <c r="A467" s="1">
        <v>465</v>
      </c>
      <c r="B467" s="2">
        <v>2.58150000000124e-5</v>
      </c>
      <c r="C467" s="2">
        <v>5.7417000000004e-5</v>
      </c>
      <c r="D467" s="2">
        <v>2.42740000000047e-5</v>
      </c>
      <c r="E467" s="2">
        <v>5.26799999999994e-5</v>
      </c>
      <c r="Q467" s="1" t="s">
        <v>19</v>
      </c>
    </row>
    <row r="468" spans="1:17">
      <c r="A468" s="1">
        <v>466</v>
      </c>
      <c r="B468" s="2">
        <v>0.022248768</v>
      </c>
      <c r="C468" s="2">
        <v>0.020222651</v>
      </c>
      <c r="D468" s="2">
        <v>0.262729195</v>
      </c>
      <c r="E468" s="2">
        <v>0.297843672</v>
      </c>
      <c r="Q468" s="1" t="s">
        <v>19</v>
      </c>
    </row>
    <row r="469" spans="1:17">
      <c r="A469" s="1">
        <v>467</v>
      </c>
      <c r="B469" s="2">
        <v>0.026083871</v>
      </c>
      <c r="C469" s="2">
        <v>0.025757415</v>
      </c>
      <c r="D469" s="2">
        <v>0.025217038</v>
      </c>
      <c r="E469" s="2">
        <v>0.024403546</v>
      </c>
      <c r="Q469" s="1" t="s">
        <v>19</v>
      </c>
    </row>
    <row r="470" spans="1:17">
      <c r="A470" s="1">
        <v>468</v>
      </c>
      <c r="B470" s="2">
        <v>0.00764397999999999</v>
      </c>
      <c r="C470" s="2">
        <v>0.00604317399999998</v>
      </c>
      <c r="D470" s="2">
        <v>0.251294134</v>
      </c>
      <c r="E470" s="2">
        <v>0.242085635</v>
      </c>
      <c r="Q470" s="1" t="s">
        <v>19</v>
      </c>
    </row>
    <row r="471" spans="1:17">
      <c r="A471" s="1">
        <v>469</v>
      </c>
      <c r="B471" s="2">
        <v>0.018851413</v>
      </c>
      <c r="C471" s="2">
        <v>0.0119433059999999</v>
      </c>
      <c r="D471" s="2">
        <v>0.048487705</v>
      </c>
      <c r="E471" s="2">
        <v>0.047473032</v>
      </c>
      <c r="Q471" s="1" t="s">
        <v>19</v>
      </c>
    </row>
    <row r="472" spans="1:17">
      <c r="A472" s="1">
        <v>470</v>
      </c>
      <c r="B472" s="2">
        <v>0.019176442</v>
      </c>
      <c r="C472" s="2">
        <v>0.013712195</v>
      </c>
      <c r="D472" s="2">
        <v>0.056764074</v>
      </c>
      <c r="E472" s="2">
        <v>0.055547327</v>
      </c>
      <c r="Q472" s="1" t="s">
        <v>19</v>
      </c>
    </row>
    <row r="473" spans="1:17">
      <c r="A473" s="1">
        <v>471</v>
      </c>
      <c r="B473" s="2">
        <v>0.022051298</v>
      </c>
      <c r="C473" s="2">
        <v>0.0174597520000001</v>
      </c>
      <c r="D473" s="2">
        <v>0.03020903</v>
      </c>
      <c r="E473" s="2">
        <v>0.028535584</v>
      </c>
      <c r="Q473" s="1" t="s">
        <v>19</v>
      </c>
    </row>
    <row r="474" spans="1:17">
      <c r="A474" s="1">
        <v>472</v>
      </c>
      <c r="B474" s="2">
        <v>0</v>
      </c>
      <c r="C474" s="2">
        <v>0</v>
      </c>
      <c r="D474" s="2">
        <v>0</v>
      </c>
      <c r="E474" s="2">
        <v>0</v>
      </c>
      <c r="Q474" s="1" t="s">
        <v>19</v>
      </c>
    </row>
    <row r="475" spans="1:17">
      <c r="A475" s="1">
        <v>473</v>
      </c>
      <c r="B475" s="2">
        <v>0.026485233</v>
      </c>
      <c r="C475" s="2">
        <v>0.024889738</v>
      </c>
      <c r="D475" s="2">
        <v>0.018628262</v>
      </c>
      <c r="E475" s="2">
        <v>0.017131305</v>
      </c>
      <c r="Q475" s="1" t="s">
        <v>19</v>
      </c>
    </row>
    <row r="476" spans="1:17">
      <c r="A476" s="1">
        <v>474</v>
      </c>
      <c r="B476" s="2">
        <v>0.026107609</v>
      </c>
      <c r="C476" s="2">
        <v>0.025738939</v>
      </c>
      <c r="D476" s="2">
        <v>0.014647707</v>
      </c>
      <c r="E476" s="2">
        <v>0.01326275</v>
      </c>
      <c r="Q476" s="1" t="s">
        <v>19</v>
      </c>
    </row>
    <row r="477" spans="1:17">
      <c r="A477" s="1">
        <v>475</v>
      </c>
      <c r="B477" s="2">
        <v>0.018954758</v>
      </c>
      <c r="C477" s="2">
        <v>0.013674877</v>
      </c>
      <c r="D477" s="2">
        <v>0.082459765</v>
      </c>
      <c r="E477" s="2">
        <v>0.081285377</v>
      </c>
      <c r="Q477" s="1" t="s">
        <v>19</v>
      </c>
    </row>
    <row r="478" spans="1:17">
      <c r="A478" s="1">
        <v>476</v>
      </c>
      <c r="B478" s="2">
        <v>0.022940577</v>
      </c>
      <c r="C478" s="2">
        <v>0.020502435</v>
      </c>
      <c r="D478" s="2">
        <v>0.100495671</v>
      </c>
      <c r="E478" s="2">
        <v>0.13911542</v>
      </c>
      <c r="Q478" s="1" t="s">
        <v>19</v>
      </c>
    </row>
    <row r="479" spans="1:17">
      <c r="A479" s="1">
        <v>477</v>
      </c>
      <c r="B479" s="2">
        <v>0.014358633</v>
      </c>
      <c r="C479" s="2">
        <v>0.00795455399999989</v>
      </c>
      <c r="D479" s="2">
        <v>0.097375681</v>
      </c>
      <c r="E479" s="2">
        <v>0.0965192039999999</v>
      </c>
      <c r="Q479" s="1" t="s">
        <v>19</v>
      </c>
    </row>
    <row r="480" spans="1:17">
      <c r="A480" s="1">
        <v>478</v>
      </c>
      <c r="B480" s="2">
        <v>0.024962925</v>
      </c>
      <c r="C480" s="2">
        <v>0.024323953</v>
      </c>
      <c r="D480" s="2">
        <v>0.068341851</v>
      </c>
      <c r="E480" s="2">
        <v>0.067654141</v>
      </c>
      <c r="Q480" s="1" t="s">
        <v>19</v>
      </c>
    </row>
    <row r="481" spans="1:17">
      <c r="A481" s="1">
        <v>479</v>
      </c>
      <c r="B481" s="2">
        <v>0.028450986</v>
      </c>
      <c r="C481" s="2">
        <v>0.02783282</v>
      </c>
      <c r="D481" s="2">
        <v>0.012561593</v>
      </c>
      <c r="E481" s="2">
        <v>0.012053486</v>
      </c>
      <c r="Q481" s="1" t="s">
        <v>19</v>
      </c>
    </row>
    <row r="482" spans="1:17">
      <c r="A482" s="1">
        <v>480</v>
      </c>
      <c r="B482" s="2">
        <v>0</v>
      </c>
      <c r="C482" s="2">
        <v>0</v>
      </c>
      <c r="D482" s="2">
        <v>0</v>
      </c>
      <c r="E482" s="2">
        <v>0</v>
      </c>
      <c r="Q482" s="1" t="s">
        <v>19</v>
      </c>
    </row>
    <row r="483" spans="1:17">
      <c r="A483" s="1">
        <v>481</v>
      </c>
      <c r="B483" s="2">
        <v>0.0148187070000001</v>
      </c>
      <c r="C483" s="2">
        <v>0.008566925</v>
      </c>
      <c r="D483" s="2">
        <v>0.0388188420000001</v>
      </c>
      <c r="E483" s="2">
        <v>0.0387814289999999</v>
      </c>
      <c r="Q483" s="1" t="s">
        <v>19</v>
      </c>
    </row>
    <row r="484" spans="1:17">
      <c r="A484" s="1">
        <v>482</v>
      </c>
      <c r="B484" s="2">
        <v>0</v>
      </c>
      <c r="C484" s="2">
        <v>0</v>
      </c>
      <c r="D484" s="2">
        <v>0</v>
      </c>
      <c r="E484" s="2">
        <v>0</v>
      </c>
      <c r="Q484" s="1" t="s">
        <v>19</v>
      </c>
    </row>
    <row r="485" spans="1:17">
      <c r="A485" s="1">
        <v>483</v>
      </c>
      <c r="B485" s="2">
        <v>0.029640273</v>
      </c>
      <c r="C485" s="2">
        <v>0.028552806</v>
      </c>
      <c r="D485" s="2">
        <v>0.036934355</v>
      </c>
      <c r="E485" s="2">
        <v>0.036385355</v>
      </c>
      <c r="Q485" s="1" t="s">
        <v>19</v>
      </c>
    </row>
    <row r="486" spans="1:17">
      <c r="A486" s="1">
        <v>484</v>
      </c>
      <c r="B486" s="2">
        <v>0.024342396</v>
      </c>
      <c r="C486" s="2">
        <v>0.024069484</v>
      </c>
      <c r="D486" s="2">
        <v>0.00678749100000003</v>
      </c>
      <c r="E486" s="2">
        <v>0.00605349599999999</v>
      </c>
      <c r="Q486" s="1" t="s">
        <v>19</v>
      </c>
    </row>
    <row r="487" spans="1:17">
      <c r="A487" s="1">
        <v>485</v>
      </c>
      <c r="B487" s="2">
        <v>0.025155439</v>
      </c>
      <c r="C487" s="2">
        <v>0.025165193</v>
      </c>
      <c r="D487" s="2">
        <v>0.014990136</v>
      </c>
      <c r="E487" s="2">
        <v>0.013373292</v>
      </c>
      <c r="Q487" s="1" t="s">
        <v>19</v>
      </c>
    </row>
    <row r="488" spans="1:17">
      <c r="A488" s="1">
        <v>486</v>
      </c>
      <c r="B488" s="2">
        <v>0.024462007</v>
      </c>
      <c r="C488" s="2">
        <v>0.024913977</v>
      </c>
      <c r="D488" s="2">
        <v>0.042149754</v>
      </c>
      <c r="E488" s="2">
        <v>0.04585202</v>
      </c>
      <c r="Q488" s="1" t="s">
        <v>19</v>
      </c>
    </row>
    <row r="489" spans="1:17">
      <c r="A489" s="1">
        <v>487</v>
      </c>
      <c r="B489" s="2">
        <v>0.0233426980000001</v>
      </c>
      <c r="C489" s="2">
        <v>0.023542184</v>
      </c>
      <c r="D489" s="2">
        <v>0.01759914</v>
      </c>
      <c r="E489" s="2">
        <v>0.014395872</v>
      </c>
      <c r="Q489" s="1" t="s">
        <v>19</v>
      </c>
    </row>
    <row r="490" spans="1:17">
      <c r="A490" s="1">
        <v>488</v>
      </c>
      <c r="B490" s="2">
        <v>0.023036894</v>
      </c>
      <c r="C490" s="2">
        <v>0.023792438</v>
      </c>
      <c r="D490" s="2">
        <v>0.014377065</v>
      </c>
      <c r="E490" s="2">
        <v>0.012066871</v>
      </c>
      <c r="Q490" s="1" t="s">
        <v>19</v>
      </c>
    </row>
    <row r="491" spans="1:17">
      <c r="A491" s="1">
        <v>489</v>
      </c>
      <c r="B491" s="2">
        <v>0.023656415</v>
      </c>
      <c r="C491" s="2">
        <v>0.02389036</v>
      </c>
      <c r="D491" s="2">
        <v>0.00684649400000004</v>
      </c>
      <c r="E491" s="2">
        <v>0.00556981099999998</v>
      </c>
      <c r="Q491" s="1" t="s">
        <v>19</v>
      </c>
    </row>
    <row r="492" spans="1:17">
      <c r="A492" s="1">
        <v>490</v>
      </c>
      <c r="B492" s="2">
        <v>0.024130903</v>
      </c>
      <c r="C492" s="2">
        <v>0.023970907</v>
      </c>
      <c r="D492" s="2">
        <v>0.011777627</v>
      </c>
      <c r="E492" s="2">
        <v>0.010752906</v>
      </c>
      <c r="Q492" s="1" t="s">
        <v>19</v>
      </c>
    </row>
  </sheetData>
  <sortState ref="Q1:Q492">
    <sortCondition ref="Q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╭ 一曲倾城歌_〞</cp:lastModifiedBy>
  <dcterms:created xsi:type="dcterms:W3CDTF">2025-05-16T06:31:00Z</dcterms:created>
  <dcterms:modified xsi:type="dcterms:W3CDTF">2025-06-20T02:58:47Z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