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<sst xmlns="http://schemas.openxmlformats.org/spreadsheetml/2006/main" count="529" uniqueCount="18">
  <si>
    <t>area_ID</t>
  </si>
  <si>
    <t>PV_roof</t>
  </si>
  <si>
    <t>PV_roof&amp;public</t>
  </si>
  <si>
    <t>BAT+PV_roof</t>
  </si>
  <si>
    <t>BAT+PV_roof&amp;public</t>
  </si>
  <si>
    <t>EV+PV_roof</t>
  </si>
  <si>
    <t>EV+PV_roof&amp;public</t>
  </si>
  <si>
    <t>urban_rural</t>
  </si>
  <si>
    <t>城区</t>
  </si>
  <si>
    <t>最大值</t>
  </si>
  <si>
    <t>最小值</t>
  </si>
  <si>
    <t>平均值</t>
  </si>
  <si>
    <t>中位数</t>
  </si>
  <si>
    <t>正值数量</t>
  </si>
  <si>
    <t>正值百分比</t>
  </si>
  <si>
    <t>负值数量</t>
  </si>
  <si>
    <t>负值百分比</t>
  </si>
  <si>
    <t>郊区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</si>
</sst>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2"/>
  <sheetViews>
    <sheetView tabSelected="1" workbookViewId="0">
      <selection activeCell="X34" sqref="X34"/>
    </sheetView>
  </sheetViews>
  <sheetFormatPr defaultColWidth="9" defaultRowHeight="13.5"/>
  <cols>
    <col min="1" max="7" width="9" style="1"/>
    <col min="17" max="17" width="9" style="1"/>
    <col min="20" max="25" width="13.75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Q1" s="1" t="s">
        <v>7</v>
      </c>
      <c r="S1" t="s">
        <v>8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</row>
    <row r="2" spans="1: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>
        <f t="shared" ref="I2:N2" si="0">STDEVP(B2:B492)</f>
        <v>0.258523613841044</v>
      </c>
      <c r="J2" s="1">
        <f t="shared" si="0"/>
        <v>0.268044263328949</v>
      </c>
      <c r="K2" s="1">
        <f t="shared" si="0"/>
        <v>0.296289499351152</v>
      </c>
      <c r="L2" s="1">
        <f t="shared" si="0"/>
        <v>0.299778202207253</v>
      </c>
      <c r="M2" s="1">
        <f t="shared" si="0"/>
        <v>0.325889675530578</v>
      </c>
      <c r="N2" s="1">
        <f t="shared" si="0"/>
        <v>0.326977807410977</v>
      </c>
      <c r="Q2" s="1" t="s">
        <v>8</v>
      </c>
      <c r="S2" t="s">
        <v>9</v>
      </c>
      <c r="T2">
        <f t="shared" ref="T2:Y2" si="1">MAX(B2:B325)</f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1.0000000016</v>
      </c>
      <c r="Y2">
        <f t="shared" si="1"/>
        <v>1.0000000018</v>
      </c>
    </row>
    <row r="3" spans="1:25">
      <c r="A3" s="1">
        <v>1</v>
      </c>
      <c r="B3" s="1">
        <v>0.621191</v>
      </c>
      <c r="C3" s="1">
        <v>0.751189</v>
      </c>
      <c r="D3" s="1">
        <v>0.763721</v>
      </c>
      <c r="E3" s="1">
        <v>0.844482</v>
      </c>
      <c r="F3" s="1">
        <v>0.996249</v>
      </c>
      <c r="G3" s="1">
        <v>0.9999636462</v>
      </c>
      <c r="I3" s="1">
        <f t="shared" ref="I3:N3" si="2">AVERAGE(B2:B492)</f>
        <v>0.479938751527495</v>
      </c>
      <c r="J3" s="1">
        <f t="shared" si="2"/>
        <v>0.517946183299389</v>
      </c>
      <c r="K3" s="1">
        <f t="shared" si="2"/>
        <v>0.581881276985744</v>
      </c>
      <c r="L3" s="1">
        <f t="shared" si="2"/>
        <v>0.61374399389002</v>
      </c>
      <c r="M3" s="1">
        <f t="shared" si="2"/>
        <v>0.695985312613646</v>
      </c>
      <c r="N3" s="1">
        <f t="shared" si="2"/>
        <v>0.709753348247657</v>
      </c>
      <c r="Q3" s="1" t="s">
        <v>8</v>
      </c>
      <c r="S3" t="s">
        <v>10</v>
      </c>
      <c r="T3">
        <f t="shared" ref="T3:Y3" si="3">MIN(B2:B325)</f>
        <v>0</v>
      </c>
      <c r="U3">
        <f t="shared" si="3"/>
        <v>0</v>
      </c>
      <c r="V3">
        <f t="shared" si="3"/>
        <v>0</v>
      </c>
      <c r="W3">
        <f t="shared" si="3"/>
        <v>0</v>
      </c>
      <c r="X3">
        <f t="shared" si="3"/>
        <v>0</v>
      </c>
      <c r="Y3">
        <f t="shared" si="3"/>
        <v>0</v>
      </c>
    </row>
    <row r="4" spans="1:25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Q4" s="1" t="s">
        <v>8</v>
      </c>
      <c r="S4" t="s">
        <v>11</v>
      </c>
      <c r="T4">
        <f t="shared" ref="T4:Y4" si="4">AVERAGE(B2:B325)</f>
        <v>0.465260858024691</v>
      </c>
      <c r="U4">
        <f t="shared" si="4"/>
        <v>0.498905351851852</v>
      </c>
      <c r="V4">
        <f t="shared" si="4"/>
        <v>0.569336111111111</v>
      </c>
      <c r="W4">
        <f t="shared" si="4"/>
        <v>0.599313709876543</v>
      </c>
      <c r="X4">
        <f t="shared" si="4"/>
        <v>0.671285772223457</v>
      </c>
      <c r="Y4">
        <f t="shared" si="4"/>
        <v>0.687587485468209</v>
      </c>
    </row>
    <row r="5" spans="1:25">
      <c r="A5" s="1">
        <v>3</v>
      </c>
      <c r="B5" s="1">
        <v>0.617915</v>
      </c>
      <c r="C5" s="1">
        <v>0.628515</v>
      </c>
      <c r="D5" s="1">
        <v>0.741858</v>
      </c>
      <c r="E5" s="1">
        <v>0.749766</v>
      </c>
      <c r="F5" s="1">
        <v>0.954789</v>
      </c>
      <c r="G5" s="1">
        <v>0.962535712</v>
      </c>
      <c r="Q5" s="1" t="s">
        <v>8</v>
      </c>
      <c r="S5" t="s">
        <v>12</v>
      </c>
      <c r="T5">
        <f t="shared" ref="T5:Y5" si="5">MEDIAN(B2:B325)</f>
        <v>0.5684725</v>
      </c>
      <c r="U5">
        <f t="shared" si="5"/>
        <v>0.595418</v>
      </c>
      <c r="V5">
        <f t="shared" si="5"/>
        <v>0.696559</v>
      </c>
      <c r="W5">
        <f t="shared" si="5"/>
        <v>0.7233165</v>
      </c>
      <c r="X5">
        <f t="shared" si="5"/>
        <v>0.70995</v>
      </c>
      <c r="Y5">
        <f t="shared" si="5"/>
        <v>0.7382585835</v>
      </c>
    </row>
    <row r="6" spans="1:25">
      <c r="A6" s="1">
        <v>4</v>
      </c>
      <c r="B6" s="1">
        <v>0.557789</v>
      </c>
      <c r="C6" s="1">
        <v>0.575305</v>
      </c>
      <c r="D6" s="1">
        <v>0.684021</v>
      </c>
      <c r="E6" s="1">
        <v>0.700729</v>
      </c>
      <c r="F6" s="1">
        <v>0.750841</v>
      </c>
      <c r="G6" s="1">
        <v>0.765137336</v>
      </c>
      <c r="Q6" s="1" t="s">
        <v>8</v>
      </c>
      <c r="S6" t="s">
        <v>13</v>
      </c>
      <c r="T6">
        <f t="shared" ref="T6:Y6" si="6">COUNTIF(B2:B325,"&gt;0")</f>
        <v>262</v>
      </c>
      <c r="U6">
        <f t="shared" si="6"/>
        <v>268</v>
      </c>
      <c r="V6">
        <f t="shared" si="6"/>
        <v>279</v>
      </c>
      <c r="W6">
        <f t="shared" si="6"/>
        <v>279</v>
      </c>
      <c r="X6">
        <f t="shared" si="6"/>
        <v>279</v>
      </c>
      <c r="Y6">
        <f t="shared" si="6"/>
        <v>279</v>
      </c>
    </row>
    <row r="7" spans="1:25">
      <c r="A7" s="1">
        <v>5</v>
      </c>
      <c r="B7" s="1">
        <v>0.555001</v>
      </c>
      <c r="C7" s="1">
        <v>0.575069</v>
      </c>
      <c r="D7" s="1">
        <v>0.674387</v>
      </c>
      <c r="E7" s="1">
        <v>0.693205</v>
      </c>
      <c r="F7" s="1">
        <v>0.632847</v>
      </c>
      <c r="G7" s="1">
        <v>0.6491006</v>
      </c>
      <c r="Q7" s="1" t="s">
        <v>8</v>
      </c>
      <c r="S7" t="s">
        <v>14</v>
      </c>
      <c r="T7">
        <f t="shared" ref="T7:Y7" si="7">T6/324</f>
        <v>0.808641975308642</v>
      </c>
      <c r="U7">
        <f t="shared" si="7"/>
        <v>0.827160493827161</v>
      </c>
      <c r="V7">
        <f t="shared" si="7"/>
        <v>0.861111111111111</v>
      </c>
      <c r="W7">
        <f t="shared" si="7"/>
        <v>0.861111111111111</v>
      </c>
      <c r="X7">
        <f t="shared" si="7"/>
        <v>0.861111111111111</v>
      </c>
      <c r="Y7">
        <f t="shared" si="7"/>
        <v>0.861111111111111</v>
      </c>
    </row>
    <row r="8" spans="1:25">
      <c r="A8" s="1">
        <v>6</v>
      </c>
      <c r="B8" s="1">
        <v>0.560939</v>
      </c>
      <c r="C8" s="1">
        <v>0.588864</v>
      </c>
      <c r="D8" s="1">
        <v>0.689718</v>
      </c>
      <c r="E8" s="1">
        <v>0.716071</v>
      </c>
      <c r="F8" s="1">
        <v>0.853665</v>
      </c>
      <c r="G8" s="1">
        <v>0.86916624</v>
      </c>
      <c r="Q8" s="1" t="s">
        <v>8</v>
      </c>
      <c r="S8" t="s">
        <v>15</v>
      </c>
      <c r="T8">
        <f t="shared" ref="T8:Y8" si="8">COUNTIF(B2:B325,"&lt;0")</f>
        <v>0</v>
      </c>
      <c r="U8">
        <f t="shared" si="8"/>
        <v>0</v>
      </c>
      <c r="V8">
        <f t="shared" si="8"/>
        <v>0</v>
      </c>
      <c r="W8">
        <f t="shared" si="8"/>
        <v>0</v>
      </c>
      <c r="X8">
        <f t="shared" si="8"/>
        <v>0</v>
      </c>
      <c r="Y8">
        <f t="shared" si="8"/>
        <v>0</v>
      </c>
    </row>
    <row r="9" spans="1:25">
      <c r="A9" s="1">
        <v>7</v>
      </c>
      <c r="B9" s="1">
        <v>0.403213</v>
      </c>
      <c r="C9" s="1">
        <v>0.446101</v>
      </c>
      <c r="D9" s="1">
        <v>0.49914</v>
      </c>
      <c r="E9" s="1">
        <v>0.5531</v>
      </c>
      <c r="F9" s="1">
        <v>0.548338</v>
      </c>
      <c r="G9" s="1">
        <v>0.598167761</v>
      </c>
      <c r="Q9" s="1" t="s">
        <v>8</v>
      </c>
      <c r="S9" t="s">
        <v>16</v>
      </c>
      <c r="T9">
        <f t="shared" ref="T9:Y9" si="9">T8/324</f>
        <v>0</v>
      </c>
      <c r="U9">
        <f t="shared" si="9"/>
        <v>0</v>
      </c>
      <c r="V9">
        <f t="shared" si="9"/>
        <v>0</v>
      </c>
      <c r="W9">
        <f t="shared" si="9"/>
        <v>0</v>
      </c>
      <c r="X9">
        <f t="shared" si="9"/>
        <v>0</v>
      </c>
      <c r="Y9">
        <f t="shared" si="9"/>
        <v>0</v>
      </c>
    </row>
    <row r="10" spans="1:17">
      <c r="A10" s="1">
        <v>8</v>
      </c>
      <c r="B10" s="1">
        <v>0.570294</v>
      </c>
      <c r="C10" s="1">
        <v>0.588114</v>
      </c>
      <c r="D10" s="1">
        <v>0.699028</v>
      </c>
      <c r="E10" s="1">
        <v>0.71551</v>
      </c>
      <c r="F10" s="1">
        <v>0.628882</v>
      </c>
      <c r="G10" s="1">
        <v>0.644538461</v>
      </c>
      <c r="Q10" s="1" t="s">
        <v>8</v>
      </c>
    </row>
    <row r="11" spans="1:17">
      <c r="A11" s="1">
        <v>9</v>
      </c>
      <c r="B11" s="1">
        <v>0.602179</v>
      </c>
      <c r="C11" s="1">
        <v>0.94023</v>
      </c>
      <c r="D11" s="1">
        <v>0.75722</v>
      </c>
      <c r="E11" s="1">
        <v>0.95998</v>
      </c>
      <c r="F11" s="1">
        <v>1.0000000016</v>
      </c>
      <c r="G11" s="1">
        <v>0.9999999998</v>
      </c>
      <c r="Q11" s="1" t="s">
        <v>8</v>
      </c>
    </row>
    <row r="12" spans="1:17">
      <c r="A12" s="1">
        <v>10</v>
      </c>
      <c r="B12" s="1">
        <v>0.610888</v>
      </c>
      <c r="C12" s="1">
        <v>0.620836</v>
      </c>
      <c r="D12" s="1">
        <v>0.750125</v>
      </c>
      <c r="E12" s="1">
        <v>0.758745</v>
      </c>
      <c r="F12" s="1">
        <v>0.939067</v>
      </c>
      <c r="G12" s="1">
        <v>0.945576051</v>
      </c>
      <c r="Q12" s="1" t="s">
        <v>8</v>
      </c>
    </row>
    <row r="13" spans="1:17">
      <c r="A13" s="1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Q13" s="1" t="s">
        <v>8</v>
      </c>
    </row>
    <row r="14" spans="1:17">
      <c r="A14" s="1">
        <v>12</v>
      </c>
      <c r="B14" s="1">
        <v>0</v>
      </c>
      <c r="C14" s="1">
        <v>0</v>
      </c>
      <c r="D14" s="1">
        <v>0.090684</v>
      </c>
      <c r="E14" s="1">
        <v>0.090684</v>
      </c>
      <c r="F14" s="1">
        <v>0.996485</v>
      </c>
      <c r="G14" s="1">
        <v>0.997793432</v>
      </c>
      <c r="Q14" s="1" t="s">
        <v>8</v>
      </c>
    </row>
    <row r="15" spans="1:25">
      <c r="A15" s="1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Q15" s="1" t="s">
        <v>8</v>
      </c>
      <c r="S15" t="s">
        <v>17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  <c r="Y15" s="1" t="s">
        <v>6</v>
      </c>
    </row>
    <row r="16" spans="1:25">
      <c r="A16" s="1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Q16" s="1" t="s">
        <v>8</v>
      </c>
      <c r="S16" t="s">
        <v>9</v>
      </c>
      <c r="T16">
        <f t="shared" ref="T16:Y16" si="10">MAX(B326:B492)</f>
        <v>0.897779</v>
      </c>
      <c r="U16">
        <f t="shared" si="10"/>
        <v>0.978883</v>
      </c>
      <c r="V16">
        <f t="shared" si="10"/>
        <v>0.931607</v>
      </c>
      <c r="W16">
        <f t="shared" si="10"/>
        <v>0.98395</v>
      </c>
      <c r="X16">
        <f t="shared" si="10"/>
        <v>1.0000000025</v>
      </c>
      <c r="Y16">
        <f t="shared" si="10"/>
        <v>1.0000000017</v>
      </c>
    </row>
    <row r="17" spans="1:25">
      <c r="A17" s="1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Q17" s="1" t="s">
        <v>8</v>
      </c>
      <c r="S17" t="s">
        <v>10</v>
      </c>
      <c r="T17">
        <f t="shared" ref="T17:Y17" si="11">MIN(B326:B492)</f>
        <v>0</v>
      </c>
      <c r="U17">
        <f t="shared" si="11"/>
        <v>0</v>
      </c>
      <c r="V17">
        <f t="shared" si="11"/>
        <v>0</v>
      </c>
      <c r="W17">
        <f t="shared" si="11"/>
        <v>0</v>
      </c>
      <c r="X17">
        <f t="shared" si="11"/>
        <v>0</v>
      </c>
      <c r="Y17">
        <f t="shared" si="11"/>
        <v>0</v>
      </c>
    </row>
    <row r="18" spans="1:25">
      <c r="A18" s="1">
        <v>16</v>
      </c>
      <c r="B18" s="1">
        <v>0.546199</v>
      </c>
      <c r="C18" s="1">
        <v>0.574624</v>
      </c>
      <c r="D18" s="1">
        <v>0.671227</v>
      </c>
      <c r="E18" s="1">
        <v>0.698666</v>
      </c>
      <c r="F18" s="1">
        <v>0.668892</v>
      </c>
      <c r="G18" s="1">
        <v>0.688045045</v>
      </c>
      <c r="Q18" s="1" t="s">
        <v>8</v>
      </c>
      <c r="S18" t="s">
        <v>11</v>
      </c>
      <c r="T18">
        <f t="shared" ref="T18:Y18" si="12">AVERAGE(B326:B492)</f>
        <v>0.508415622754491</v>
      </c>
      <c r="U18">
        <f t="shared" si="12"/>
        <v>0.554887676646707</v>
      </c>
      <c r="V18">
        <f t="shared" si="12"/>
        <v>0.606220401197605</v>
      </c>
      <c r="W18">
        <f t="shared" si="12"/>
        <v>0.641740473053892</v>
      </c>
      <c r="X18">
        <f t="shared" si="12"/>
        <v>0.743905378999401</v>
      </c>
      <c r="Y18">
        <f t="shared" si="12"/>
        <v>0.752757776634132</v>
      </c>
    </row>
    <row r="19" spans="1:25">
      <c r="A19" s="1">
        <v>17</v>
      </c>
      <c r="B19" s="1">
        <v>0.606494</v>
      </c>
      <c r="C19" s="1">
        <v>0.619553</v>
      </c>
      <c r="D19" s="1">
        <v>0.733053</v>
      </c>
      <c r="E19" s="1">
        <v>0.744188</v>
      </c>
      <c r="F19" s="1">
        <v>0.682842</v>
      </c>
      <c r="G19" s="1">
        <v>0.694561297</v>
      </c>
      <c r="Q19" s="1" t="s">
        <v>8</v>
      </c>
      <c r="S19" t="s">
        <v>12</v>
      </c>
      <c r="T19">
        <f t="shared" ref="T19:Y19" si="13">MEDIAN(B326:B492)</f>
        <v>0.606437</v>
      </c>
      <c r="U19">
        <f t="shared" si="13"/>
        <v>0.629589</v>
      </c>
      <c r="V19">
        <f t="shared" si="13"/>
        <v>0.738031</v>
      </c>
      <c r="W19">
        <f t="shared" si="13"/>
        <v>0.757795</v>
      </c>
      <c r="X19">
        <f t="shared" si="13"/>
        <v>0.905443</v>
      </c>
      <c r="Y19">
        <f t="shared" si="13"/>
        <v>0.931993788</v>
      </c>
    </row>
    <row r="20" spans="1:25">
      <c r="A20" s="1">
        <v>18</v>
      </c>
      <c r="B20" s="1">
        <v>0.61725</v>
      </c>
      <c r="C20" s="1">
        <v>0.632557</v>
      </c>
      <c r="D20" s="1">
        <v>0.75918</v>
      </c>
      <c r="E20" s="1">
        <v>0.771941</v>
      </c>
      <c r="F20" s="1">
        <v>0.994415</v>
      </c>
      <c r="G20" s="1">
        <v>0.995433281</v>
      </c>
      <c r="Q20" s="1" t="s">
        <v>8</v>
      </c>
      <c r="S20" t="s">
        <v>13</v>
      </c>
      <c r="T20">
        <f t="shared" ref="T20:Y20" si="14">COUNTIF(B326:B492,"&gt;0")</f>
        <v>134</v>
      </c>
      <c r="U20">
        <f t="shared" si="14"/>
        <v>138</v>
      </c>
      <c r="V20">
        <f t="shared" si="14"/>
        <v>140</v>
      </c>
      <c r="W20">
        <f t="shared" si="14"/>
        <v>140</v>
      </c>
      <c r="X20">
        <f t="shared" si="14"/>
        <v>140</v>
      </c>
      <c r="Y20">
        <f t="shared" si="14"/>
        <v>140</v>
      </c>
    </row>
    <row r="21" spans="1:25">
      <c r="A21" s="1">
        <v>19</v>
      </c>
      <c r="B21" s="1">
        <v>0.435256</v>
      </c>
      <c r="C21" s="1">
        <v>0.460838</v>
      </c>
      <c r="D21" s="1">
        <v>0.542289</v>
      </c>
      <c r="E21" s="1">
        <v>0.571884</v>
      </c>
      <c r="F21" s="1">
        <v>0.735454</v>
      </c>
      <c r="G21" s="1">
        <v>0.761686381</v>
      </c>
      <c r="Q21" s="1" t="s">
        <v>8</v>
      </c>
      <c r="S21" t="s">
        <v>14</v>
      </c>
      <c r="T21">
        <f t="shared" ref="T21:Y21" si="15">T20/324</f>
        <v>0.41358024691358</v>
      </c>
      <c r="U21">
        <f t="shared" si="15"/>
        <v>0.425925925925926</v>
      </c>
      <c r="V21">
        <f t="shared" si="15"/>
        <v>0.432098765432099</v>
      </c>
      <c r="W21">
        <f t="shared" si="15"/>
        <v>0.432098765432099</v>
      </c>
      <c r="X21">
        <f t="shared" si="15"/>
        <v>0.432098765432099</v>
      </c>
      <c r="Y21">
        <f t="shared" si="15"/>
        <v>0.432098765432099</v>
      </c>
    </row>
    <row r="22" spans="1:25">
      <c r="A22" s="1">
        <v>20</v>
      </c>
      <c r="B22" s="1">
        <v>0.582276</v>
      </c>
      <c r="C22" s="1">
        <v>0.597424</v>
      </c>
      <c r="D22" s="1">
        <v>0.708805</v>
      </c>
      <c r="E22" s="1">
        <v>0.722411</v>
      </c>
      <c r="F22" s="1">
        <v>0.743875</v>
      </c>
      <c r="G22" s="1">
        <v>0.757084558</v>
      </c>
      <c r="Q22" s="1" t="s">
        <v>8</v>
      </c>
      <c r="S22" t="s">
        <v>15</v>
      </c>
      <c r="T22">
        <f t="shared" ref="T22:Y22" si="16">COUNTIF(B326:B492,"&lt;0")</f>
        <v>0</v>
      </c>
      <c r="U22">
        <f t="shared" si="16"/>
        <v>0</v>
      </c>
      <c r="V22">
        <f t="shared" si="16"/>
        <v>0</v>
      </c>
      <c r="W22">
        <f t="shared" si="16"/>
        <v>0</v>
      </c>
      <c r="X22">
        <f t="shared" si="16"/>
        <v>0</v>
      </c>
      <c r="Y22">
        <f t="shared" si="16"/>
        <v>0</v>
      </c>
    </row>
    <row r="23" spans="1:25">
      <c r="A23" s="1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Q23" s="1" t="s">
        <v>8</v>
      </c>
      <c r="S23" t="s">
        <v>16</v>
      </c>
      <c r="T23">
        <f t="shared" ref="T23:Y23" si="17">T22/324</f>
        <v>0</v>
      </c>
      <c r="U23">
        <f t="shared" si="17"/>
        <v>0</v>
      </c>
      <c r="V23">
        <f t="shared" si="17"/>
        <v>0</v>
      </c>
      <c r="W23">
        <f t="shared" si="17"/>
        <v>0</v>
      </c>
      <c r="X23">
        <f t="shared" si="17"/>
        <v>0</v>
      </c>
      <c r="Y23">
        <f t="shared" si="17"/>
        <v>0</v>
      </c>
    </row>
    <row r="24" spans="1:17">
      <c r="A24" s="1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Q24" s="1" t="s">
        <v>8</v>
      </c>
    </row>
    <row r="25" spans="1:17">
      <c r="A25" s="1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Q25" s="1" t="s">
        <v>8</v>
      </c>
    </row>
    <row r="26" spans="1:17">
      <c r="A26" s="1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Q26" s="1" t="s">
        <v>8</v>
      </c>
    </row>
    <row r="27" spans="1:17">
      <c r="A27" s="1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Q27" s="1" t="s">
        <v>8</v>
      </c>
    </row>
    <row r="28" spans="1:17">
      <c r="A28" s="1">
        <v>26</v>
      </c>
      <c r="B28" s="1">
        <v>0.832268</v>
      </c>
      <c r="C28" s="1">
        <v>0.876787</v>
      </c>
      <c r="D28" s="1">
        <v>0.893367</v>
      </c>
      <c r="E28" s="1">
        <v>0.913817</v>
      </c>
      <c r="F28" s="1">
        <v>0.940663</v>
      </c>
      <c r="G28" s="1">
        <v>0.962048489</v>
      </c>
      <c r="Q28" s="1" t="s">
        <v>8</v>
      </c>
    </row>
    <row r="29" spans="1:17">
      <c r="A29" s="1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Q29" s="1" t="s">
        <v>8</v>
      </c>
    </row>
    <row r="30" spans="1:17">
      <c r="A30" s="1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Q30" s="1" t="s">
        <v>8</v>
      </c>
    </row>
    <row r="31" spans="1:17">
      <c r="A31" s="1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Q31" s="1" t="s">
        <v>8</v>
      </c>
    </row>
    <row r="32" spans="1:17">
      <c r="A32" s="1">
        <v>30</v>
      </c>
      <c r="B32" s="1">
        <v>0.54734</v>
      </c>
      <c r="C32" s="1">
        <v>0.570052</v>
      </c>
      <c r="D32" s="1">
        <v>0.667782</v>
      </c>
      <c r="E32" s="1">
        <v>0.689832</v>
      </c>
      <c r="F32" s="1">
        <v>0.632188</v>
      </c>
      <c r="G32" s="1">
        <v>0.64888522</v>
      </c>
      <c r="Q32" s="1" t="s">
        <v>8</v>
      </c>
    </row>
    <row r="33" spans="1:17">
      <c r="A33" s="1">
        <v>31</v>
      </c>
      <c r="B33" s="1">
        <v>0.445768</v>
      </c>
      <c r="C33" s="1">
        <v>0.489521</v>
      </c>
      <c r="D33" s="1">
        <v>0.554182</v>
      </c>
      <c r="E33" s="1">
        <v>0.60381</v>
      </c>
      <c r="F33" s="1">
        <v>0.669237</v>
      </c>
      <c r="G33" s="1">
        <v>0.701529526</v>
      </c>
      <c r="Q33" s="1" t="s">
        <v>8</v>
      </c>
    </row>
    <row r="34" spans="1:17">
      <c r="A34" s="1">
        <v>32</v>
      </c>
      <c r="B34" s="1">
        <v>0.724048</v>
      </c>
      <c r="C34" s="1">
        <v>0.847389</v>
      </c>
      <c r="D34" s="1">
        <v>0.839982</v>
      </c>
      <c r="E34" s="1">
        <v>0.894692</v>
      </c>
      <c r="F34" s="1">
        <v>0.9999999986</v>
      </c>
      <c r="G34" s="1">
        <v>1.0000000004</v>
      </c>
      <c r="Q34" s="1" t="s">
        <v>8</v>
      </c>
    </row>
    <row r="35" spans="1:17">
      <c r="A35" s="1">
        <v>33</v>
      </c>
      <c r="B35" s="1">
        <v>0.808551</v>
      </c>
      <c r="C35" s="1">
        <v>0.831854</v>
      </c>
      <c r="D35" s="1">
        <v>0.87922</v>
      </c>
      <c r="E35" s="1">
        <v>0.888411</v>
      </c>
      <c r="F35" s="1">
        <v>0.9999999993</v>
      </c>
      <c r="G35" s="1">
        <v>0.9999999995</v>
      </c>
      <c r="Q35" s="1" t="s">
        <v>8</v>
      </c>
    </row>
    <row r="36" spans="1:17">
      <c r="A36" s="1">
        <v>34</v>
      </c>
      <c r="B36" s="1">
        <v>0.677728</v>
      </c>
      <c r="C36" s="1">
        <v>0.772329</v>
      </c>
      <c r="D36" s="1">
        <v>0.798115</v>
      </c>
      <c r="E36" s="1">
        <v>0.848288</v>
      </c>
      <c r="F36" s="1">
        <v>0.999516</v>
      </c>
      <c r="G36" s="1">
        <v>0.9999999996</v>
      </c>
      <c r="Q36" s="1" t="s">
        <v>8</v>
      </c>
    </row>
    <row r="37" spans="1:17">
      <c r="A37" s="1">
        <v>35</v>
      </c>
      <c r="B37" s="1">
        <v>0.64912</v>
      </c>
      <c r="C37" s="1">
        <v>0.759784</v>
      </c>
      <c r="D37" s="1">
        <v>0.791552</v>
      </c>
      <c r="E37" s="1">
        <v>0.853746</v>
      </c>
      <c r="F37" s="1">
        <v>0.991743</v>
      </c>
      <c r="G37" s="1">
        <v>0.997389557</v>
      </c>
      <c r="Q37" s="1" t="s">
        <v>8</v>
      </c>
    </row>
    <row r="38" spans="1:17">
      <c r="A38" s="1">
        <v>36</v>
      </c>
      <c r="B38" s="1">
        <v>0.769299</v>
      </c>
      <c r="C38" s="1">
        <v>0.816241</v>
      </c>
      <c r="D38" s="1">
        <v>0.859318</v>
      </c>
      <c r="E38" s="1">
        <v>0.879846</v>
      </c>
      <c r="F38" s="1">
        <v>0.9999999998</v>
      </c>
      <c r="G38" s="1">
        <v>0.9999999997</v>
      </c>
      <c r="Q38" s="1" t="s">
        <v>8</v>
      </c>
    </row>
    <row r="39" spans="1:17">
      <c r="A39" s="1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Q39" s="1" t="s">
        <v>8</v>
      </c>
    </row>
    <row r="40" spans="1:17">
      <c r="A40" s="1">
        <v>38</v>
      </c>
      <c r="B40" s="1">
        <v>0</v>
      </c>
      <c r="C40" s="1">
        <v>0.199252</v>
      </c>
      <c r="D40" s="1">
        <v>0.090684</v>
      </c>
      <c r="E40" s="1">
        <v>0.289647</v>
      </c>
      <c r="F40" s="1">
        <v>0.997658</v>
      </c>
      <c r="G40" s="1">
        <v>0.999072637</v>
      </c>
      <c r="Q40" s="1" t="s">
        <v>8</v>
      </c>
    </row>
    <row r="41" spans="1:17">
      <c r="A41" s="1">
        <v>39</v>
      </c>
      <c r="B41" s="1">
        <v>0.711082</v>
      </c>
      <c r="C41" s="1">
        <v>0.781618</v>
      </c>
      <c r="D41" s="1">
        <v>0.833338</v>
      </c>
      <c r="E41" s="1">
        <v>0.867141</v>
      </c>
      <c r="F41" s="1">
        <v>0.999841</v>
      </c>
      <c r="G41" s="1">
        <v>1</v>
      </c>
      <c r="Q41" s="1" t="s">
        <v>8</v>
      </c>
    </row>
    <row r="42" spans="1:17">
      <c r="A42" s="1">
        <v>40</v>
      </c>
      <c r="B42" s="1">
        <v>0.592911</v>
      </c>
      <c r="C42" s="1">
        <v>0.627783</v>
      </c>
      <c r="D42" s="1">
        <v>0.718734</v>
      </c>
      <c r="E42" s="1">
        <v>0.748536</v>
      </c>
      <c r="F42" s="1">
        <v>0.721528</v>
      </c>
      <c r="G42" s="1">
        <v>0.750584761</v>
      </c>
      <c r="Q42" s="1" t="s">
        <v>8</v>
      </c>
    </row>
    <row r="43" spans="1:17">
      <c r="A43" s="1">
        <v>41</v>
      </c>
      <c r="B43" s="1">
        <v>0.600217</v>
      </c>
      <c r="C43" s="1">
        <v>0.733592</v>
      </c>
      <c r="D43" s="1">
        <v>0.732571</v>
      </c>
      <c r="E43" s="1">
        <v>0.824409</v>
      </c>
      <c r="F43" s="1">
        <v>0.941331</v>
      </c>
      <c r="G43" s="1">
        <v>0.982405408</v>
      </c>
      <c r="Q43" s="1" t="s">
        <v>8</v>
      </c>
    </row>
    <row r="44" spans="1:17">
      <c r="A44" s="1">
        <v>42</v>
      </c>
      <c r="B44" s="1">
        <v>0.646074</v>
      </c>
      <c r="C44" s="1">
        <v>0.703646</v>
      </c>
      <c r="D44" s="1">
        <v>0.777536</v>
      </c>
      <c r="E44" s="1">
        <v>0.816581</v>
      </c>
      <c r="F44" s="1">
        <v>0.998898</v>
      </c>
      <c r="G44" s="1">
        <v>0.9999999995</v>
      </c>
      <c r="Q44" s="1" t="s">
        <v>8</v>
      </c>
    </row>
    <row r="45" spans="1:17">
      <c r="A45" s="1">
        <v>43</v>
      </c>
      <c r="B45" s="1">
        <v>0.621724</v>
      </c>
      <c r="C45" s="1">
        <v>0.65053</v>
      </c>
      <c r="D45" s="1">
        <v>0.753011</v>
      </c>
      <c r="E45" s="1">
        <v>0.775508</v>
      </c>
      <c r="F45" s="1">
        <v>0.702367</v>
      </c>
      <c r="G45" s="1">
        <v>0.728780345</v>
      </c>
      <c r="Q45" s="1" t="s">
        <v>8</v>
      </c>
    </row>
    <row r="46" spans="1:17">
      <c r="A46" s="1">
        <v>44</v>
      </c>
      <c r="B46" s="1">
        <v>0</v>
      </c>
      <c r="C46" s="1">
        <v>0.643938</v>
      </c>
      <c r="D46" s="1">
        <v>0.0904239999999999</v>
      </c>
      <c r="E46" s="1">
        <v>0.788495</v>
      </c>
      <c r="F46" s="1">
        <v>0.979423</v>
      </c>
      <c r="G46" s="1">
        <v>0.994638062</v>
      </c>
      <c r="Q46" s="1" t="s">
        <v>8</v>
      </c>
    </row>
    <row r="47" spans="1:17">
      <c r="A47" s="1">
        <v>45</v>
      </c>
      <c r="B47" s="1">
        <v>0.703999</v>
      </c>
      <c r="C47" s="1">
        <v>0.806253</v>
      </c>
      <c r="D47" s="1">
        <v>0.827486</v>
      </c>
      <c r="E47" s="1">
        <v>0.875553</v>
      </c>
      <c r="F47" s="1">
        <v>0.9999363</v>
      </c>
      <c r="G47" s="1">
        <v>0.9999999984</v>
      </c>
      <c r="Q47" s="1" t="s">
        <v>8</v>
      </c>
    </row>
    <row r="48" spans="1:17">
      <c r="A48" s="1">
        <v>46</v>
      </c>
      <c r="B48" s="1">
        <v>0.805649</v>
      </c>
      <c r="C48" s="1">
        <v>0.854738</v>
      </c>
      <c r="D48" s="1">
        <v>0.876661</v>
      </c>
      <c r="E48" s="1">
        <v>0.89755</v>
      </c>
      <c r="F48" s="1">
        <v>0.9999999999</v>
      </c>
      <c r="G48" s="1">
        <v>1.0000000013</v>
      </c>
      <c r="Q48" s="1" t="s">
        <v>8</v>
      </c>
    </row>
    <row r="49" spans="1:17">
      <c r="A49" s="1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Q49" s="1" t="s">
        <v>8</v>
      </c>
    </row>
    <row r="50" spans="1:17">
      <c r="A50" s="1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Q50" s="1" t="s">
        <v>8</v>
      </c>
    </row>
    <row r="51" spans="1:17">
      <c r="A51" s="1">
        <v>49</v>
      </c>
      <c r="B51" s="1">
        <v>0</v>
      </c>
      <c r="C51" s="1">
        <v>0</v>
      </c>
      <c r="D51" s="1">
        <v>0.090684</v>
      </c>
      <c r="E51" s="1">
        <v>0.090684</v>
      </c>
      <c r="F51" s="1">
        <v>0.973438</v>
      </c>
      <c r="G51" s="1">
        <v>0.97402673</v>
      </c>
      <c r="Q51" s="1" t="s">
        <v>8</v>
      </c>
    </row>
    <row r="52" spans="1:17">
      <c r="A52" s="1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Q52" s="1" t="s">
        <v>8</v>
      </c>
    </row>
    <row r="53" spans="1:17">
      <c r="A53" s="1">
        <v>51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Q53" s="1" t="s">
        <v>8</v>
      </c>
    </row>
    <row r="54" spans="1:17">
      <c r="A54" s="1">
        <v>52</v>
      </c>
      <c r="B54" s="1">
        <v>0.073824</v>
      </c>
      <c r="C54" s="1">
        <v>0.160938</v>
      </c>
      <c r="D54" s="1">
        <v>0.156707</v>
      </c>
      <c r="E54" s="1">
        <v>0.243132</v>
      </c>
      <c r="F54" s="1">
        <v>0.684957</v>
      </c>
      <c r="G54" s="1">
        <v>0.749803472</v>
      </c>
      <c r="Q54" s="1" t="s">
        <v>8</v>
      </c>
    </row>
    <row r="55" spans="1:17">
      <c r="A55" s="1">
        <v>53</v>
      </c>
      <c r="B55" s="1">
        <v>0</v>
      </c>
      <c r="C55" s="1">
        <v>0</v>
      </c>
      <c r="D55" s="1">
        <v>0.087585</v>
      </c>
      <c r="E55" s="1">
        <v>0.087585</v>
      </c>
      <c r="F55" s="1">
        <v>0.99941</v>
      </c>
      <c r="G55" s="1">
        <v>0.9998118</v>
      </c>
      <c r="Q55" s="1" t="s">
        <v>8</v>
      </c>
    </row>
    <row r="56" spans="1:17">
      <c r="A56" s="1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Q56" s="1" t="s">
        <v>8</v>
      </c>
    </row>
    <row r="57" spans="1:17">
      <c r="A57" s="1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Q57" s="1" t="s">
        <v>8</v>
      </c>
    </row>
    <row r="58" spans="1:17">
      <c r="A58" s="1">
        <v>56</v>
      </c>
      <c r="B58" s="1">
        <v>0.660178</v>
      </c>
      <c r="C58" s="1">
        <v>0.70737</v>
      </c>
      <c r="D58" s="1">
        <v>0.801445</v>
      </c>
      <c r="E58" s="1">
        <v>0.829737</v>
      </c>
      <c r="F58" s="1">
        <v>0.860213</v>
      </c>
      <c r="G58" s="1">
        <v>0.892249401</v>
      </c>
      <c r="Q58" s="1" t="s">
        <v>8</v>
      </c>
    </row>
    <row r="59" spans="1:17">
      <c r="A59" s="1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Q59" s="1" t="s">
        <v>8</v>
      </c>
    </row>
    <row r="60" spans="1:17">
      <c r="A60" s="1">
        <v>58</v>
      </c>
      <c r="B60" s="1">
        <v>0.488632</v>
      </c>
      <c r="C60" s="1">
        <v>0.547248</v>
      </c>
      <c r="D60" s="1">
        <v>0.603038</v>
      </c>
      <c r="E60" s="1">
        <v>0.662993</v>
      </c>
      <c r="F60" s="1">
        <v>0.738422</v>
      </c>
      <c r="G60" s="1">
        <v>0.781678604</v>
      </c>
      <c r="Q60" s="1" t="s">
        <v>8</v>
      </c>
    </row>
    <row r="61" spans="1:17">
      <c r="A61" s="1">
        <v>59</v>
      </c>
      <c r="B61" s="1">
        <v>0.609256</v>
      </c>
      <c r="C61" s="1">
        <v>0.626781</v>
      </c>
      <c r="D61" s="1">
        <v>0.728329</v>
      </c>
      <c r="E61" s="1">
        <v>0.742833</v>
      </c>
      <c r="F61" s="1">
        <v>0.743068</v>
      </c>
      <c r="G61" s="1">
        <v>0.760085572</v>
      </c>
      <c r="Q61" s="1" t="s">
        <v>8</v>
      </c>
    </row>
    <row r="62" spans="1:17">
      <c r="A62" s="1">
        <v>60</v>
      </c>
      <c r="B62" s="1">
        <v>0.403329</v>
      </c>
      <c r="C62" s="1">
        <v>0.448784</v>
      </c>
      <c r="D62" s="1">
        <v>0.499233</v>
      </c>
      <c r="E62" s="1">
        <v>0.556407</v>
      </c>
      <c r="F62" s="1">
        <v>0.473629</v>
      </c>
      <c r="G62" s="1">
        <v>0.526001523</v>
      </c>
      <c r="Q62" s="1" t="s">
        <v>8</v>
      </c>
    </row>
    <row r="63" spans="1:17">
      <c r="A63" s="1">
        <v>61</v>
      </c>
      <c r="B63" s="1">
        <v>0.593859</v>
      </c>
      <c r="C63" s="1">
        <v>0.621229</v>
      </c>
      <c r="D63" s="1">
        <v>0.72746</v>
      </c>
      <c r="E63" s="1">
        <v>0.752008</v>
      </c>
      <c r="F63" s="1">
        <v>0.727484</v>
      </c>
      <c r="G63" s="1">
        <v>0.750275718</v>
      </c>
      <c r="Q63" s="1" t="s">
        <v>8</v>
      </c>
    </row>
    <row r="64" spans="1:17">
      <c r="A64" s="1">
        <v>62</v>
      </c>
      <c r="B64" s="1">
        <v>0.629182</v>
      </c>
      <c r="C64" s="1">
        <v>0.64447</v>
      </c>
      <c r="D64" s="1">
        <v>0.768729</v>
      </c>
      <c r="E64" s="1">
        <v>0.780635</v>
      </c>
      <c r="F64" s="1">
        <v>0.999604</v>
      </c>
      <c r="G64" s="1">
        <v>0.999819448</v>
      </c>
      <c r="Q64" s="1" t="s">
        <v>8</v>
      </c>
    </row>
    <row r="65" spans="1:17">
      <c r="A65" s="1">
        <v>63</v>
      </c>
      <c r="B65" s="1">
        <v>0.311025</v>
      </c>
      <c r="C65" s="1">
        <v>0.478777</v>
      </c>
      <c r="D65" s="1">
        <v>0.389844</v>
      </c>
      <c r="E65" s="1">
        <v>0.593804</v>
      </c>
      <c r="F65" s="1">
        <v>0.985488</v>
      </c>
      <c r="G65" s="1">
        <v>0.990446496</v>
      </c>
      <c r="Q65" s="1" t="s">
        <v>8</v>
      </c>
    </row>
    <row r="66" spans="1:17">
      <c r="A66" s="1">
        <v>64</v>
      </c>
      <c r="B66" s="1">
        <v>0.633189</v>
      </c>
      <c r="C66" s="1">
        <v>0.645133</v>
      </c>
      <c r="D66" s="1">
        <v>0.774826</v>
      </c>
      <c r="E66" s="1">
        <v>0.784025</v>
      </c>
      <c r="F66" s="1">
        <v>0.722841</v>
      </c>
      <c r="G66" s="1">
        <v>0.734695908</v>
      </c>
      <c r="Q66" s="1" t="s">
        <v>8</v>
      </c>
    </row>
    <row r="67" spans="1:17">
      <c r="A67" s="1">
        <v>65</v>
      </c>
      <c r="B67" s="1">
        <v>0.656111</v>
      </c>
      <c r="C67" s="1">
        <v>0.68205</v>
      </c>
      <c r="D67" s="1">
        <v>0.794358</v>
      </c>
      <c r="E67" s="1">
        <v>0.812064</v>
      </c>
      <c r="F67" s="1">
        <v>0.738271</v>
      </c>
      <c r="G67" s="1">
        <v>0.762287592</v>
      </c>
      <c r="Q67" s="1" t="s">
        <v>8</v>
      </c>
    </row>
    <row r="68" spans="1:17">
      <c r="A68" s="1">
        <v>66</v>
      </c>
      <c r="B68" s="1">
        <v>0.617748</v>
      </c>
      <c r="C68" s="1">
        <v>0.634039</v>
      </c>
      <c r="D68" s="1">
        <v>0.761466</v>
      </c>
      <c r="E68" s="1">
        <v>0.774973</v>
      </c>
      <c r="F68" s="1">
        <v>0.972198</v>
      </c>
      <c r="G68" s="1">
        <v>0.977991406</v>
      </c>
      <c r="Q68" s="1" t="s">
        <v>8</v>
      </c>
    </row>
    <row r="69" spans="1:17">
      <c r="A69" s="1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Q69" s="1" t="s">
        <v>8</v>
      </c>
    </row>
    <row r="70" spans="1:17">
      <c r="A70" s="1">
        <v>68</v>
      </c>
      <c r="B70" s="1">
        <v>0.667505</v>
      </c>
      <c r="C70" s="1">
        <v>0.69102</v>
      </c>
      <c r="D70" s="1">
        <v>0.803553</v>
      </c>
      <c r="E70" s="1">
        <v>0.818057</v>
      </c>
      <c r="F70" s="1">
        <v>0.999613</v>
      </c>
      <c r="G70" s="1">
        <v>0.999795944</v>
      </c>
      <c r="Q70" s="1" t="s">
        <v>8</v>
      </c>
    </row>
    <row r="71" spans="1:17">
      <c r="A71" s="1">
        <v>69</v>
      </c>
      <c r="B71" s="1">
        <v>0.661061</v>
      </c>
      <c r="C71" s="1">
        <v>0.689549</v>
      </c>
      <c r="D71" s="1">
        <v>0.799776</v>
      </c>
      <c r="E71" s="1">
        <v>0.81802</v>
      </c>
      <c r="F71" s="1">
        <v>0.995221</v>
      </c>
      <c r="G71" s="1">
        <v>0.996657067</v>
      </c>
      <c r="Q71" s="1" t="s">
        <v>8</v>
      </c>
    </row>
    <row r="72" spans="1:17">
      <c r="A72" s="1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Q72" s="1" t="s">
        <v>8</v>
      </c>
    </row>
    <row r="73" spans="1:17">
      <c r="A73" s="1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Q73" s="1" t="s">
        <v>8</v>
      </c>
    </row>
    <row r="74" spans="1:17">
      <c r="A74" s="1">
        <v>72</v>
      </c>
      <c r="B74" s="1">
        <v>0.646243</v>
      </c>
      <c r="C74" s="1">
        <v>0.665491</v>
      </c>
      <c r="D74" s="1">
        <v>0.784773</v>
      </c>
      <c r="E74" s="1">
        <v>0.79872</v>
      </c>
      <c r="F74" s="1">
        <v>0.736303</v>
      </c>
      <c r="G74" s="1">
        <v>0.754041693</v>
      </c>
      <c r="Q74" s="1" t="s">
        <v>8</v>
      </c>
    </row>
    <row r="75" spans="1:17">
      <c r="A75" s="1">
        <v>73</v>
      </c>
      <c r="B75" s="1">
        <v>0.645755</v>
      </c>
      <c r="C75" s="1">
        <v>0.659072</v>
      </c>
      <c r="D75" s="1">
        <v>0.782133</v>
      </c>
      <c r="E75" s="1">
        <v>0.79185</v>
      </c>
      <c r="F75" s="1">
        <v>0.849645</v>
      </c>
      <c r="G75" s="1">
        <v>0.861592084</v>
      </c>
      <c r="Q75" s="1" t="s">
        <v>8</v>
      </c>
    </row>
    <row r="76" spans="1:17">
      <c r="A76" s="1">
        <v>74</v>
      </c>
      <c r="B76" s="1">
        <v>0.578473</v>
      </c>
      <c r="C76" s="1">
        <v>0.594972</v>
      </c>
      <c r="D76" s="1">
        <v>0.731966</v>
      </c>
      <c r="E76" s="1">
        <v>0.747569</v>
      </c>
      <c r="F76" s="1">
        <v>0.957047</v>
      </c>
      <c r="G76" s="1">
        <v>0.963771383</v>
      </c>
      <c r="Q76" s="1" t="s">
        <v>8</v>
      </c>
    </row>
    <row r="77" spans="1:17">
      <c r="A77" s="1">
        <v>75</v>
      </c>
      <c r="B77" s="1">
        <v>0.618192</v>
      </c>
      <c r="C77" s="1">
        <v>0.63679</v>
      </c>
      <c r="D77" s="1">
        <v>0.759514</v>
      </c>
      <c r="E77" s="1">
        <v>0.774804</v>
      </c>
      <c r="F77" s="1">
        <v>0.712292</v>
      </c>
      <c r="G77" s="1">
        <v>0.728877306</v>
      </c>
      <c r="Q77" s="1" t="s">
        <v>8</v>
      </c>
    </row>
    <row r="78" spans="1:17">
      <c r="A78" s="1">
        <v>76</v>
      </c>
      <c r="B78" s="1">
        <v>0.660255</v>
      </c>
      <c r="C78" s="1">
        <v>0.676786</v>
      </c>
      <c r="D78" s="1">
        <v>0.802354</v>
      </c>
      <c r="E78" s="1">
        <v>0.813837</v>
      </c>
      <c r="F78" s="1">
        <v>0.998602</v>
      </c>
      <c r="G78" s="1">
        <v>0.999312996</v>
      </c>
      <c r="Q78" s="1" t="s">
        <v>8</v>
      </c>
    </row>
    <row r="79" spans="1:17">
      <c r="A79" s="1">
        <v>77</v>
      </c>
      <c r="B79" s="1">
        <v>0.568412</v>
      </c>
      <c r="C79" s="1">
        <v>0.595968</v>
      </c>
      <c r="D79" s="1">
        <v>0.700248</v>
      </c>
      <c r="E79" s="1">
        <v>0.726088</v>
      </c>
      <c r="F79" s="1">
        <v>0.770014</v>
      </c>
      <c r="G79" s="1">
        <v>0.790585354</v>
      </c>
      <c r="Q79" s="1" t="s">
        <v>8</v>
      </c>
    </row>
    <row r="80" spans="1:17">
      <c r="A80" s="1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Q80" s="1" t="s">
        <v>8</v>
      </c>
    </row>
    <row r="81" spans="1:17">
      <c r="A81" s="1">
        <v>79</v>
      </c>
      <c r="B81" s="1">
        <v>0.638914</v>
      </c>
      <c r="C81" s="1">
        <v>0.659912</v>
      </c>
      <c r="D81" s="1">
        <v>0.773929</v>
      </c>
      <c r="E81" s="1">
        <v>0.789376</v>
      </c>
      <c r="F81" s="1">
        <v>0.996351</v>
      </c>
      <c r="G81" s="1">
        <v>0.997554349</v>
      </c>
      <c r="Q81" s="1" t="s">
        <v>8</v>
      </c>
    </row>
    <row r="82" spans="1:17">
      <c r="A82" s="1">
        <v>80</v>
      </c>
      <c r="B82" s="1">
        <v>0.600392</v>
      </c>
      <c r="C82" s="1">
        <v>0.645439</v>
      </c>
      <c r="D82" s="1">
        <v>0.729892</v>
      </c>
      <c r="E82" s="1">
        <v>0.767058</v>
      </c>
      <c r="F82" s="1">
        <v>0.992156</v>
      </c>
      <c r="G82" s="1">
        <v>0.996807775</v>
      </c>
      <c r="Q82" s="1" t="s">
        <v>8</v>
      </c>
    </row>
    <row r="83" spans="1:17">
      <c r="A83" s="1">
        <v>81</v>
      </c>
      <c r="B83" s="1">
        <v>0.642363</v>
      </c>
      <c r="C83" s="1">
        <v>0.666358</v>
      </c>
      <c r="D83" s="1">
        <v>0.79037</v>
      </c>
      <c r="E83" s="1">
        <v>0.808015</v>
      </c>
      <c r="F83" s="1">
        <v>0.968711</v>
      </c>
      <c r="G83" s="1">
        <v>0.971685189</v>
      </c>
      <c r="Q83" s="1" t="s">
        <v>8</v>
      </c>
    </row>
    <row r="84" spans="1:17">
      <c r="A84" s="1">
        <v>82</v>
      </c>
      <c r="B84" s="1">
        <v>0.633032</v>
      </c>
      <c r="C84" s="1">
        <v>0.648212</v>
      </c>
      <c r="D84" s="1">
        <v>0.769391</v>
      </c>
      <c r="E84" s="1">
        <v>0.781056</v>
      </c>
      <c r="F84" s="1">
        <v>0.834168</v>
      </c>
      <c r="G84" s="1">
        <v>0.845848491</v>
      </c>
      <c r="Q84" s="1" t="s">
        <v>8</v>
      </c>
    </row>
    <row r="85" spans="1:17">
      <c r="A85" s="1">
        <v>83</v>
      </c>
      <c r="B85" s="1">
        <v>0.640629</v>
      </c>
      <c r="C85" s="1">
        <v>0.668496</v>
      </c>
      <c r="D85" s="1">
        <v>0.770635</v>
      </c>
      <c r="E85" s="1">
        <v>0.790765</v>
      </c>
      <c r="F85" s="1">
        <v>0.912259</v>
      </c>
      <c r="G85" s="1">
        <v>0.93088401</v>
      </c>
      <c r="Q85" s="1" t="s">
        <v>8</v>
      </c>
    </row>
    <row r="86" spans="1:17">
      <c r="A86" s="1">
        <v>84</v>
      </c>
      <c r="B86" s="1">
        <v>0.604068</v>
      </c>
      <c r="C86" s="1">
        <v>0.632982</v>
      </c>
      <c r="D86" s="1">
        <v>0.741348</v>
      </c>
      <c r="E86" s="1">
        <v>0.7654</v>
      </c>
      <c r="F86" s="1">
        <v>0.971642</v>
      </c>
      <c r="G86" s="1">
        <v>0.981526848</v>
      </c>
      <c r="Q86" s="1" t="s">
        <v>8</v>
      </c>
    </row>
    <row r="87" spans="1:17">
      <c r="A87" s="1">
        <v>85</v>
      </c>
      <c r="B87" s="1">
        <v>0.67138</v>
      </c>
      <c r="C87" s="1">
        <v>0.689019</v>
      </c>
      <c r="D87" s="1">
        <v>0.799566</v>
      </c>
      <c r="E87" s="1">
        <v>0.81042</v>
      </c>
      <c r="F87" s="1">
        <v>0.999404</v>
      </c>
      <c r="G87" s="1">
        <v>0.9999999988</v>
      </c>
      <c r="Q87" s="1" t="s">
        <v>8</v>
      </c>
    </row>
    <row r="88" spans="1:17">
      <c r="A88" s="1">
        <v>86</v>
      </c>
      <c r="B88" s="1">
        <v>0.584042</v>
      </c>
      <c r="C88" s="1">
        <v>0.610209</v>
      </c>
      <c r="D88" s="1">
        <v>0.716717</v>
      </c>
      <c r="E88" s="1">
        <v>0.740193</v>
      </c>
      <c r="F88" s="1">
        <v>0.741288</v>
      </c>
      <c r="G88" s="1">
        <v>0.761832154</v>
      </c>
      <c r="Q88" s="1" t="s">
        <v>8</v>
      </c>
    </row>
    <row r="89" spans="1:17">
      <c r="A89" s="1">
        <v>87</v>
      </c>
      <c r="B89" s="1">
        <v>0.628977</v>
      </c>
      <c r="C89" s="1">
        <v>0.645198</v>
      </c>
      <c r="D89" s="1">
        <v>0.767547</v>
      </c>
      <c r="E89" s="1">
        <v>0.78022</v>
      </c>
      <c r="F89" s="1">
        <v>0.734176</v>
      </c>
      <c r="G89" s="1">
        <v>0.749068692</v>
      </c>
      <c r="Q89" s="1" t="s">
        <v>8</v>
      </c>
    </row>
    <row r="90" spans="1:17">
      <c r="A90" s="1">
        <v>88</v>
      </c>
      <c r="B90" s="1">
        <v>0.629596</v>
      </c>
      <c r="C90" s="1">
        <v>0.674569</v>
      </c>
      <c r="D90" s="1">
        <v>0.767795</v>
      </c>
      <c r="E90" s="1">
        <v>0.80083</v>
      </c>
      <c r="F90" s="1">
        <v>0.997578</v>
      </c>
      <c r="G90" s="1">
        <v>0.9999999997</v>
      </c>
      <c r="Q90" s="1" t="s">
        <v>8</v>
      </c>
    </row>
    <row r="91" spans="1:17">
      <c r="A91" s="1">
        <v>89</v>
      </c>
      <c r="B91" s="1">
        <v>0.666819</v>
      </c>
      <c r="C91" s="1">
        <v>0.677581</v>
      </c>
      <c r="D91" s="1">
        <v>0.808356</v>
      </c>
      <c r="E91" s="1">
        <v>0.815548</v>
      </c>
      <c r="F91" s="1">
        <v>0.999181</v>
      </c>
      <c r="G91" s="1">
        <v>0.999845191</v>
      </c>
      <c r="Q91" s="1" t="s">
        <v>8</v>
      </c>
    </row>
    <row r="92" spans="1:17">
      <c r="A92" s="1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Q92" s="1" t="s">
        <v>8</v>
      </c>
    </row>
    <row r="93" spans="1:17">
      <c r="A93" s="1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Q93" s="1" t="s">
        <v>8</v>
      </c>
    </row>
    <row r="94" spans="1:17">
      <c r="A94" s="1">
        <v>92</v>
      </c>
      <c r="B94" s="1">
        <v>0.656091</v>
      </c>
      <c r="C94" s="1">
        <v>0.671942</v>
      </c>
      <c r="D94" s="1">
        <v>0.796222</v>
      </c>
      <c r="E94" s="1">
        <v>0.807463</v>
      </c>
      <c r="F94" s="1">
        <v>0.993718</v>
      </c>
      <c r="G94" s="1">
        <v>0.994671552</v>
      </c>
      <c r="Q94" s="1" t="s">
        <v>8</v>
      </c>
    </row>
    <row r="95" spans="1:17">
      <c r="A95" s="1">
        <v>93</v>
      </c>
      <c r="B95" s="1">
        <v>0</v>
      </c>
      <c r="C95" s="1">
        <v>0.063532</v>
      </c>
      <c r="D95" s="1">
        <v>0.066578</v>
      </c>
      <c r="E95" s="1">
        <v>0.129488</v>
      </c>
      <c r="F95" s="1">
        <v>0.985256</v>
      </c>
      <c r="G95" s="1">
        <v>0.988757124</v>
      </c>
      <c r="Q95" s="1" t="s">
        <v>8</v>
      </c>
    </row>
    <row r="96" spans="1:17">
      <c r="A96" s="1">
        <v>94</v>
      </c>
      <c r="B96" s="1">
        <v>0.649584</v>
      </c>
      <c r="C96" s="1">
        <v>0.698847</v>
      </c>
      <c r="D96" s="1">
        <v>0.786905</v>
      </c>
      <c r="E96" s="1">
        <v>0.818878</v>
      </c>
      <c r="F96" s="1">
        <v>0.993268</v>
      </c>
      <c r="G96" s="1">
        <v>0.995867358</v>
      </c>
      <c r="Q96" s="1" t="s">
        <v>8</v>
      </c>
    </row>
    <row r="97" spans="1:17">
      <c r="A97" s="1">
        <v>95</v>
      </c>
      <c r="B97" s="1">
        <v>0.672956</v>
      </c>
      <c r="C97" s="1">
        <v>0.736676</v>
      </c>
      <c r="D97" s="1">
        <v>0.786586</v>
      </c>
      <c r="E97" s="1">
        <v>0.821585</v>
      </c>
      <c r="F97" s="1">
        <v>0.998903</v>
      </c>
      <c r="G97" s="1">
        <v>1</v>
      </c>
      <c r="Q97" s="1" t="s">
        <v>8</v>
      </c>
    </row>
    <row r="98" spans="1:17">
      <c r="A98" s="1">
        <v>96</v>
      </c>
      <c r="B98" s="1">
        <v>0.585585</v>
      </c>
      <c r="C98" s="1">
        <v>0.608142</v>
      </c>
      <c r="D98" s="1">
        <v>0.711086</v>
      </c>
      <c r="E98" s="1">
        <v>0.731163</v>
      </c>
      <c r="F98" s="1">
        <v>0.636059</v>
      </c>
      <c r="G98" s="1">
        <v>0.65629577</v>
      </c>
      <c r="Q98" s="1" t="s">
        <v>8</v>
      </c>
    </row>
    <row r="99" spans="1:17">
      <c r="A99" s="1">
        <v>97</v>
      </c>
      <c r="B99" s="1">
        <v>0.618278</v>
      </c>
      <c r="C99" s="1">
        <v>0.637122</v>
      </c>
      <c r="D99" s="1">
        <v>0.746448</v>
      </c>
      <c r="E99" s="1">
        <v>0.761755</v>
      </c>
      <c r="F99" s="1">
        <v>0.649852</v>
      </c>
      <c r="G99" s="1">
        <v>0.667973931</v>
      </c>
      <c r="Q99" s="1" t="s">
        <v>8</v>
      </c>
    </row>
    <row r="100" spans="1:17">
      <c r="A100" s="1">
        <v>98</v>
      </c>
      <c r="B100" s="1">
        <v>0.557797</v>
      </c>
      <c r="C100" s="1">
        <v>0.595003</v>
      </c>
      <c r="D100" s="1">
        <v>0.688204</v>
      </c>
      <c r="E100" s="1">
        <v>0.723435</v>
      </c>
      <c r="F100" s="1">
        <v>0.60887</v>
      </c>
      <c r="G100" s="1">
        <v>0.643272588</v>
      </c>
      <c r="Q100" s="1" t="s">
        <v>8</v>
      </c>
    </row>
    <row r="101" spans="1:17">
      <c r="A101" s="1">
        <v>99</v>
      </c>
      <c r="B101" s="1">
        <v>0.631887</v>
      </c>
      <c r="C101" s="1">
        <v>0.657428</v>
      </c>
      <c r="D101" s="1">
        <v>0.760025</v>
      </c>
      <c r="E101" s="1">
        <v>0.779069</v>
      </c>
      <c r="F101" s="1">
        <v>0.798021</v>
      </c>
      <c r="G101" s="1">
        <v>0.822663721</v>
      </c>
      <c r="Q101" s="1" t="s">
        <v>8</v>
      </c>
    </row>
    <row r="102" spans="1:17">
      <c r="A102" s="1">
        <v>100</v>
      </c>
      <c r="B102" s="1">
        <v>0.626402</v>
      </c>
      <c r="C102" s="1">
        <v>0.645168</v>
      </c>
      <c r="D102" s="1">
        <v>0.764749</v>
      </c>
      <c r="E102" s="1">
        <v>0.778907</v>
      </c>
      <c r="F102" s="1">
        <v>0.815324</v>
      </c>
      <c r="G102" s="1">
        <v>0.831836337</v>
      </c>
      <c r="Q102" s="1" t="s">
        <v>8</v>
      </c>
    </row>
    <row r="103" spans="1:17">
      <c r="A103" s="1">
        <v>101</v>
      </c>
      <c r="B103" s="1">
        <v>0.511516</v>
      </c>
      <c r="C103" s="1">
        <v>0.546412</v>
      </c>
      <c r="D103" s="1">
        <v>0.639516</v>
      </c>
      <c r="E103" s="1">
        <v>0.674264</v>
      </c>
      <c r="F103" s="1">
        <v>0.849506</v>
      </c>
      <c r="G103" s="1">
        <v>0.873784264</v>
      </c>
      <c r="Q103" s="1" t="s">
        <v>8</v>
      </c>
    </row>
    <row r="104" spans="1:17">
      <c r="A104" s="1">
        <v>102</v>
      </c>
      <c r="B104" s="1">
        <v>0.640133</v>
      </c>
      <c r="C104" s="1">
        <v>0.653763</v>
      </c>
      <c r="D104" s="1">
        <v>0.771697</v>
      </c>
      <c r="E104" s="1">
        <v>0.781677</v>
      </c>
      <c r="F104" s="1">
        <v>0.698383</v>
      </c>
      <c r="G104" s="1">
        <v>0.71152007</v>
      </c>
      <c r="Q104" s="1" t="s">
        <v>8</v>
      </c>
    </row>
    <row r="105" spans="1:17">
      <c r="A105" s="1">
        <v>103</v>
      </c>
      <c r="B105" s="1">
        <v>0.653451</v>
      </c>
      <c r="C105" s="1">
        <v>0.668279</v>
      </c>
      <c r="D105" s="1">
        <v>0.787786</v>
      </c>
      <c r="E105" s="1">
        <v>0.798193</v>
      </c>
      <c r="F105" s="1">
        <v>0.913933</v>
      </c>
      <c r="G105" s="1">
        <v>0.922713145</v>
      </c>
      <c r="Q105" s="1" t="s">
        <v>8</v>
      </c>
    </row>
    <row r="106" spans="1:17">
      <c r="A106" s="1">
        <v>104</v>
      </c>
      <c r="B106" s="1">
        <v>0</v>
      </c>
      <c r="C106" s="1">
        <v>0</v>
      </c>
      <c r="D106" s="1">
        <v>0.079036</v>
      </c>
      <c r="E106" s="1">
        <v>0.079036</v>
      </c>
      <c r="F106" s="1">
        <v>0.995395</v>
      </c>
      <c r="G106" s="1">
        <v>0.99556573</v>
      </c>
      <c r="Q106" s="1" t="s">
        <v>8</v>
      </c>
    </row>
    <row r="107" spans="1:17">
      <c r="A107" s="1">
        <v>105</v>
      </c>
      <c r="B107" s="1">
        <v>0.65464</v>
      </c>
      <c r="C107" s="1">
        <v>0.676208</v>
      </c>
      <c r="D107" s="1">
        <v>0.789393</v>
      </c>
      <c r="E107" s="1">
        <v>0.804546</v>
      </c>
      <c r="F107" s="1">
        <v>0.997519</v>
      </c>
      <c r="G107" s="1">
        <v>0.998264999</v>
      </c>
      <c r="Q107" s="1" t="s">
        <v>8</v>
      </c>
    </row>
    <row r="108" spans="1:17">
      <c r="A108" s="1">
        <v>106</v>
      </c>
      <c r="B108" s="1">
        <v>0</v>
      </c>
      <c r="C108" s="1">
        <v>0.207844</v>
      </c>
      <c r="D108" s="1">
        <v>0.077025</v>
      </c>
      <c r="E108" s="1">
        <v>0.284392</v>
      </c>
      <c r="F108" s="1">
        <v>0.998152</v>
      </c>
      <c r="G108" s="1">
        <v>0.999609906</v>
      </c>
      <c r="Q108" s="1" t="s">
        <v>8</v>
      </c>
    </row>
    <row r="109" spans="1:17">
      <c r="A109" s="1">
        <v>107</v>
      </c>
      <c r="B109" s="1">
        <v>0.576399</v>
      </c>
      <c r="C109" s="1">
        <v>0.60549</v>
      </c>
      <c r="D109" s="1">
        <v>0.698574</v>
      </c>
      <c r="E109" s="1">
        <v>0.725023</v>
      </c>
      <c r="F109" s="1">
        <v>0.865935</v>
      </c>
      <c r="G109" s="1">
        <v>0.888737617</v>
      </c>
      <c r="Q109" s="1" t="s">
        <v>8</v>
      </c>
    </row>
    <row r="110" spans="1:17">
      <c r="A110" s="1">
        <v>108</v>
      </c>
      <c r="B110" s="1">
        <v>0</v>
      </c>
      <c r="C110" s="1">
        <v>0.082936</v>
      </c>
      <c r="D110" s="1">
        <v>0.081698</v>
      </c>
      <c r="E110" s="1">
        <v>0.163821</v>
      </c>
      <c r="F110" s="1">
        <v>0.994</v>
      </c>
      <c r="G110" s="1">
        <v>0.995262501</v>
      </c>
      <c r="Q110" s="1" t="s">
        <v>8</v>
      </c>
    </row>
    <row r="111" spans="1:17">
      <c r="A111" s="1">
        <v>109</v>
      </c>
      <c r="B111" s="1">
        <v>0.774353</v>
      </c>
      <c r="C111" s="1">
        <v>0.801825</v>
      </c>
      <c r="D111" s="1">
        <v>0.837806</v>
      </c>
      <c r="E111" s="1">
        <v>0.850132</v>
      </c>
      <c r="F111" s="1">
        <v>0.999642</v>
      </c>
      <c r="G111" s="1">
        <v>1.0000000007</v>
      </c>
      <c r="Q111" s="1" t="s">
        <v>8</v>
      </c>
    </row>
    <row r="112" spans="1:17">
      <c r="A112" s="1">
        <v>110</v>
      </c>
      <c r="B112" s="1">
        <v>0.472125</v>
      </c>
      <c r="C112" s="1">
        <v>0.491752</v>
      </c>
      <c r="D112" s="1">
        <v>0.588291</v>
      </c>
      <c r="E112" s="1">
        <v>0.609499</v>
      </c>
      <c r="F112" s="1">
        <v>0.527257</v>
      </c>
      <c r="G112" s="1">
        <v>0.546876671</v>
      </c>
      <c r="Q112" s="1" t="s">
        <v>8</v>
      </c>
    </row>
    <row r="113" spans="1:17">
      <c r="A113" s="1">
        <v>111</v>
      </c>
      <c r="B113" s="1">
        <v>0.6497</v>
      </c>
      <c r="C113" s="1">
        <v>0.657282</v>
      </c>
      <c r="D113" s="1">
        <v>0.764891</v>
      </c>
      <c r="E113" s="1">
        <v>0.770309</v>
      </c>
      <c r="F113" s="1">
        <v>0.770258</v>
      </c>
      <c r="G113" s="1">
        <v>0.77810865</v>
      </c>
      <c r="Q113" s="1" t="s">
        <v>8</v>
      </c>
    </row>
    <row r="114" spans="1:17">
      <c r="A114" s="1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Q114" s="1" t="s">
        <v>8</v>
      </c>
    </row>
    <row r="115" spans="1:17">
      <c r="A115" s="1">
        <v>113</v>
      </c>
      <c r="B115" s="1">
        <v>0.457749</v>
      </c>
      <c r="C115" s="1">
        <v>0.492121</v>
      </c>
      <c r="D115" s="1">
        <v>0.566526</v>
      </c>
      <c r="E115" s="1">
        <v>0.603955</v>
      </c>
      <c r="F115" s="1">
        <v>0.539421</v>
      </c>
      <c r="G115" s="1">
        <v>0.569944302</v>
      </c>
      <c r="Q115" s="1" t="s">
        <v>8</v>
      </c>
    </row>
    <row r="116" spans="1:17">
      <c r="A116" s="1">
        <v>114</v>
      </c>
      <c r="B116" s="1">
        <v>0.5869</v>
      </c>
      <c r="C116" s="1">
        <v>0.629714</v>
      </c>
      <c r="D116" s="1">
        <v>0.719257</v>
      </c>
      <c r="E116" s="1">
        <v>0.756723</v>
      </c>
      <c r="F116" s="1">
        <v>0.706429</v>
      </c>
      <c r="G116" s="1">
        <v>0.741999794</v>
      </c>
      <c r="Q116" s="1" t="s">
        <v>8</v>
      </c>
    </row>
    <row r="117" spans="1:17">
      <c r="A117" s="1">
        <v>115</v>
      </c>
      <c r="B117" s="1">
        <v>0.677288</v>
      </c>
      <c r="C117" s="1">
        <v>0.71057</v>
      </c>
      <c r="D117" s="1">
        <v>0.812352</v>
      </c>
      <c r="E117" s="1">
        <v>0.830516</v>
      </c>
      <c r="F117" s="1">
        <v>0.954921</v>
      </c>
      <c r="G117" s="1">
        <v>0.967790744</v>
      </c>
      <c r="Q117" s="1" t="s">
        <v>8</v>
      </c>
    </row>
    <row r="118" spans="1:17">
      <c r="A118" s="1">
        <v>116</v>
      </c>
      <c r="B118" s="1">
        <v>0.537643</v>
      </c>
      <c r="C118" s="1">
        <v>0.593172</v>
      </c>
      <c r="D118" s="1">
        <v>0.693633</v>
      </c>
      <c r="E118" s="1">
        <v>0.748097</v>
      </c>
      <c r="F118" s="1">
        <v>0.995732</v>
      </c>
      <c r="G118" s="1">
        <v>0.99848424</v>
      </c>
      <c r="Q118" s="1" t="s">
        <v>8</v>
      </c>
    </row>
    <row r="119" spans="1:17">
      <c r="A119" s="1">
        <v>117</v>
      </c>
      <c r="B119" s="1">
        <v>0.601062</v>
      </c>
      <c r="C119" s="1">
        <v>0.628963</v>
      </c>
      <c r="D119" s="1">
        <v>0.734478</v>
      </c>
      <c r="E119" s="1">
        <v>0.758559</v>
      </c>
      <c r="F119" s="1">
        <v>0.989968</v>
      </c>
      <c r="G119" s="1">
        <v>0.993534559</v>
      </c>
      <c r="Q119" s="1" t="s">
        <v>8</v>
      </c>
    </row>
    <row r="120" spans="1:17">
      <c r="A120" s="1">
        <v>118</v>
      </c>
      <c r="B120" s="1">
        <v>0.538458</v>
      </c>
      <c r="C120" s="1">
        <v>0.582761</v>
      </c>
      <c r="D120" s="1">
        <v>0.66142</v>
      </c>
      <c r="E120" s="1">
        <v>0.704393</v>
      </c>
      <c r="F120" s="1">
        <v>0.748162</v>
      </c>
      <c r="G120" s="1">
        <v>0.778872142</v>
      </c>
      <c r="Q120" s="1" t="s">
        <v>8</v>
      </c>
    </row>
    <row r="121" spans="1:17">
      <c r="A121" s="1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Q121" s="1" t="s">
        <v>8</v>
      </c>
    </row>
    <row r="122" spans="1:17">
      <c r="A122" s="1">
        <v>120</v>
      </c>
      <c r="B122" s="1">
        <v>0.609872</v>
      </c>
      <c r="C122" s="1">
        <v>0.636692</v>
      </c>
      <c r="D122" s="1">
        <v>0.743754</v>
      </c>
      <c r="E122" s="1">
        <v>0.766166</v>
      </c>
      <c r="F122" s="1">
        <v>0.763209</v>
      </c>
      <c r="G122" s="1">
        <v>0.786213668</v>
      </c>
      <c r="Q122" s="1" t="s">
        <v>8</v>
      </c>
    </row>
    <row r="123" spans="1:17">
      <c r="A123" s="1">
        <v>121</v>
      </c>
      <c r="B123" s="1">
        <v>0</v>
      </c>
      <c r="C123" s="1">
        <v>0</v>
      </c>
      <c r="D123" s="1">
        <v>0.068244</v>
      </c>
      <c r="E123" s="1">
        <v>0.068244</v>
      </c>
      <c r="F123" s="1">
        <v>0.994191</v>
      </c>
      <c r="G123" s="1">
        <v>0.996378158</v>
      </c>
      <c r="Q123" s="1" t="s">
        <v>8</v>
      </c>
    </row>
    <row r="124" spans="1:17">
      <c r="A124" s="1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Q124" s="1" t="s">
        <v>8</v>
      </c>
    </row>
    <row r="125" spans="1:17">
      <c r="A125" s="1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Q125" s="1" t="s">
        <v>8</v>
      </c>
    </row>
    <row r="126" spans="1:17">
      <c r="A126" s="1">
        <v>124</v>
      </c>
      <c r="B126" s="1">
        <v>0.650466</v>
      </c>
      <c r="C126" s="1">
        <v>0.676436</v>
      </c>
      <c r="D126" s="1">
        <v>0.793556</v>
      </c>
      <c r="E126" s="1">
        <v>0.811965</v>
      </c>
      <c r="F126" s="1">
        <v>0.999275</v>
      </c>
      <c r="G126" s="1">
        <v>0.999758278</v>
      </c>
      <c r="Q126" s="1" t="s">
        <v>8</v>
      </c>
    </row>
    <row r="127" spans="1:17">
      <c r="A127" s="1">
        <v>125</v>
      </c>
      <c r="B127" s="1">
        <v>0.634365</v>
      </c>
      <c r="C127" s="1">
        <v>0.650443</v>
      </c>
      <c r="D127" s="1">
        <v>0.768975</v>
      </c>
      <c r="E127" s="1">
        <v>0.78108</v>
      </c>
      <c r="F127" s="1">
        <v>0.72046</v>
      </c>
      <c r="G127" s="1">
        <v>0.735626453</v>
      </c>
      <c r="Q127" s="1" t="s">
        <v>8</v>
      </c>
    </row>
    <row r="128" spans="1:17">
      <c r="A128" s="1">
        <v>126</v>
      </c>
      <c r="B128" s="1">
        <v>0.606456</v>
      </c>
      <c r="C128" s="1">
        <v>0.667767</v>
      </c>
      <c r="D128" s="1">
        <v>0.74158</v>
      </c>
      <c r="E128" s="1">
        <v>0.789474</v>
      </c>
      <c r="F128" s="1">
        <v>0.992651</v>
      </c>
      <c r="G128" s="1">
        <v>0.997506492</v>
      </c>
      <c r="Q128" s="1" t="s">
        <v>8</v>
      </c>
    </row>
    <row r="129" spans="1:17">
      <c r="A129" s="1">
        <v>127</v>
      </c>
      <c r="B129" s="1">
        <v>0.522505</v>
      </c>
      <c r="C129" s="1">
        <v>0.569197</v>
      </c>
      <c r="D129" s="1">
        <v>0.643872</v>
      </c>
      <c r="E129" s="1">
        <v>0.689736</v>
      </c>
      <c r="F129" s="1">
        <v>0.632527</v>
      </c>
      <c r="G129" s="1">
        <v>0.663095718</v>
      </c>
      <c r="Q129" s="1" t="s">
        <v>8</v>
      </c>
    </row>
    <row r="130" spans="1:17">
      <c r="A130" s="1">
        <v>128</v>
      </c>
      <c r="B130" s="1">
        <v>0.469679</v>
      </c>
      <c r="C130" s="1">
        <v>0.5251</v>
      </c>
      <c r="D130" s="1">
        <v>0.587744</v>
      </c>
      <c r="E130" s="1">
        <v>0.646434</v>
      </c>
      <c r="F130" s="1">
        <v>0.541315</v>
      </c>
      <c r="G130" s="1">
        <v>0.589126539</v>
      </c>
      <c r="Q130" s="1" t="s">
        <v>8</v>
      </c>
    </row>
    <row r="131" spans="1:17">
      <c r="A131" s="1">
        <v>129</v>
      </c>
      <c r="B131" s="1">
        <v>0.596997</v>
      </c>
      <c r="C131" s="1">
        <v>0.616772</v>
      </c>
      <c r="D131" s="1">
        <v>0.732484</v>
      </c>
      <c r="E131" s="1">
        <v>0.750022</v>
      </c>
      <c r="F131" s="1">
        <v>0.780766</v>
      </c>
      <c r="G131" s="1">
        <v>0.799428362</v>
      </c>
      <c r="Q131" s="1" t="s">
        <v>8</v>
      </c>
    </row>
    <row r="132" spans="1:17">
      <c r="A132" s="1">
        <v>130</v>
      </c>
      <c r="B132" s="1">
        <v>0.573999</v>
      </c>
      <c r="C132" s="1">
        <v>0.606933</v>
      </c>
      <c r="D132" s="1">
        <v>0.704141</v>
      </c>
      <c r="E132" s="1">
        <v>0.73449</v>
      </c>
      <c r="F132" s="1">
        <v>0.665691</v>
      </c>
      <c r="G132" s="1">
        <v>0.691499308</v>
      </c>
      <c r="Q132" s="1" t="s">
        <v>8</v>
      </c>
    </row>
    <row r="133" spans="1:17">
      <c r="A133" s="1">
        <v>131</v>
      </c>
      <c r="B133" s="1">
        <v>0.586977</v>
      </c>
      <c r="C133" s="1">
        <v>0.60874</v>
      </c>
      <c r="D133" s="1">
        <v>0.715979</v>
      </c>
      <c r="E133" s="1">
        <v>0.735611</v>
      </c>
      <c r="F133" s="1">
        <v>0.84445</v>
      </c>
      <c r="G133" s="1">
        <v>0.862522293</v>
      </c>
      <c r="Q133" s="1" t="s">
        <v>8</v>
      </c>
    </row>
    <row r="134" spans="1:17">
      <c r="A134" s="1">
        <v>132</v>
      </c>
      <c r="B134" s="1">
        <v>0.541356</v>
      </c>
      <c r="C134" s="1">
        <v>0.59735</v>
      </c>
      <c r="D134" s="1">
        <v>0.670573</v>
      </c>
      <c r="E134" s="1">
        <v>0.724288</v>
      </c>
      <c r="F134" s="1">
        <v>0.908856</v>
      </c>
      <c r="G134" s="1">
        <v>0.937213489</v>
      </c>
      <c r="Q134" s="1" t="s">
        <v>8</v>
      </c>
    </row>
    <row r="135" spans="1:17">
      <c r="A135" s="1">
        <v>133</v>
      </c>
      <c r="B135" s="1">
        <v>0.54986</v>
      </c>
      <c r="C135" s="1">
        <v>0.575655</v>
      </c>
      <c r="D135" s="1">
        <v>0.675039</v>
      </c>
      <c r="E135" s="1">
        <v>0.700184</v>
      </c>
      <c r="F135" s="1">
        <v>0.647827</v>
      </c>
      <c r="G135" s="1">
        <v>0.66689083</v>
      </c>
      <c r="Q135" s="1" t="s">
        <v>8</v>
      </c>
    </row>
    <row r="136" spans="1:17">
      <c r="A136" s="1">
        <v>134</v>
      </c>
      <c r="B136" s="1">
        <v>0.558303</v>
      </c>
      <c r="C136" s="1">
        <v>0.573384</v>
      </c>
      <c r="D136" s="1">
        <v>0.693089</v>
      </c>
      <c r="E136" s="1">
        <v>0.707454</v>
      </c>
      <c r="F136" s="1">
        <v>0.750832</v>
      </c>
      <c r="G136" s="1">
        <v>0.762024995</v>
      </c>
      <c r="Q136" s="1" t="s">
        <v>8</v>
      </c>
    </row>
    <row r="137" spans="1:17">
      <c r="A137" s="1">
        <v>135</v>
      </c>
      <c r="B137" s="1">
        <v>0.569256</v>
      </c>
      <c r="C137" s="1">
        <v>0.603566</v>
      </c>
      <c r="D137" s="1">
        <v>0.698349</v>
      </c>
      <c r="E137" s="1">
        <v>0.730185</v>
      </c>
      <c r="F137" s="1">
        <v>0.691645</v>
      </c>
      <c r="G137" s="1">
        <v>0.715787731</v>
      </c>
      <c r="Q137" s="1" t="s">
        <v>8</v>
      </c>
    </row>
    <row r="138" spans="1:17">
      <c r="A138" s="1">
        <v>136</v>
      </c>
      <c r="B138" s="1">
        <v>0.627157</v>
      </c>
      <c r="C138" s="1">
        <v>0.641355</v>
      </c>
      <c r="D138" s="1">
        <v>0.760335</v>
      </c>
      <c r="E138" s="1">
        <v>0.771514</v>
      </c>
      <c r="F138" s="1">
        <v>0.954033</v>
      </c>
      <c r="G138" s="1">
        <v>0.962385776</v>
      </c>
      <c r="Q138" s="1" t="s">
        <v>8</v>
      </c>
    </row>
    <row r="139" spans="1:17">
      <c r="A139" s="1">
        <v>137</v>
      </c>
      <c r="B139" s="1">
        <v>0.593241</v>
      </c>
      <c r="C139" s="1">
        <v>0.61306</v>
      </c>
      <c r="D139" s="1">
        <v>0.726347</v>
      </c>
      <c r="E139" s="1">
        <v>0.744054</v>
      </c>
      <c r="F139" s="1">
        <v>0.835144</v>
      </c>
      <c r="G139" s="1">
        <v>0.851761215</v>
      </c>
      <c r="Q139" s="1" t="s">
        <v>8</v>
      </c>
    </row>
    <row r="140" spans="1:17">
      <c r="A140" s="1">
        <v>138</v>
      </c>
      <c r="B140" s="1">
        <v>0.4609</v>
      </c>
      <c r="C140" s="1">
        <v>0.491194</v>
      </c>
      <c r="D140" s="1">
        <v>0.568837</v>
      </c>
      <c r="E140" s="1">
        <v>0.602015</v>
      </c>
      <c r="F140" s="1">
        <v>0.863195</v>
      </c>
      <c r="G140" s="1">
        <v>0.88234351</v>
      </c>
      <c r="Q140" s="1" t="s">
        <v>8</v>
      </c>
    </row>
    <row r="141" spans="1:17">
      <c r="A141" s="1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Q141" s="1" t="s">
        <v>8</v>
      </c>
    </row>
    <row r="142" spans="1:17">
      <c r="A142" s="1">
        <v>140</v>
      </c>
      <c r="B142" s="1">
        <v>0.63896</v>
      </c>
      <c r="C142" s="1">
        <v>0.656247</v>
      </c>
      <c r="D142" s="1">
        <v>0.778456</v>
      </c>
      <c r="E142" s="1">
        <v>0.791292</v>
      </c>
      <c r="F142" s="1">
        <v>0.992283</v>
      </c>
      <c r="G142" s="1">
        <v>0.994426091</v>
      </c>
      <c r="Q142" s="1" t="s">
        <v>8</v>
      </c>
    </row>
    <row r="143" spans="1:17">
      <c r="A143" s="1">
        <v>141</v>
      </c>
      <c r="B143" s="1">
        <v>0.648526</v>
      </c>
      <c r="C143" s="1">
        <v>0.66445</v>
      </c>
      <c r="D143" s="1">
        <v>0.78572</v>
      </c>
      <c r="E143" s="1">
        <v>0.79725</v>
      </c>
      <c r="F143" s="1">
        <v>0.996096</v>
      </c>
      <c r="G143" s="1">
        <v>0.997819346</v>
      </c>
      <c r="Q143" s="1" t="s">
        <v>8</v>
      </c>
    </row>
    <row r="144" spans="1:17">
      <c r="A144" s="1">
        <v>142</v>
      </c>
      <c r="B144" s="1">
        <v>0.435478</v>
      </c>
      <c r="C144" s="1">
        <v>0.58442</v>
      </c>
      <c r="D144" s="1">
        <v>0.578115</v>
      </c>
      <c r="E144" s="1">
        <v>0.739916</v>
      </c>
      <c r="F144" s="1">
        <v>0.997346</v>
      </c>
      <c r="G144" s="1">
        <v>0.999178307</v>
      </c>
      <c r="Q144" s="1" t="s">
        <v>8</v>
      </c>
    </row>
    <row r="145" spans="1:17">
      <c r="A145" s="1">
        <v>143</v>
      </c>
      <c r="B145" s="1">
        <v>0.664596</v>
      </c>
      <c r="C145" s="1">
        <v>0.689106</v>
      </c>
      <c r="D145" s="1">
        <v>0.804788</v>
      </c>
      <c r="E145" s="1">
        <v>0.820149</v>
      </c>
      <c r="F145" s="1">
        <v>0.824707</v>
      </c>
      <c r="G145" s="1">
        <v>0.844751172</v>
      </c>
      <c r="Q145" s="1" t="s">
        <v>8</v>
      </c>
    </row>
    <row r="146" spans="1:17">
      <c r="A146" s="1">
        <v>144</v>
      </c>
      <c r="B146" s="1">
        <v>0.562504</v>
      </c>
      <c r="C146" s="1">
        <v>0.57806</v>
      </c>
      <c r="D146" s="1">
        <v>0.684991</v>
      </c>
      <c r="E146" s="1">
        <v>0.699709</v>
      </c>
      <c r="F146" s="1">
        <v>0.642687</v>
      </c>
      <c r="G146" s="1">
        <v>0.656517771</v>
      </c>
      <c r="Q146" s="1" t="s">
        <v>8</v>
      </c>
    </row>
    <row r="147" spans="1:17">
      <c r="A147" s="1">
        <v>145</v>
      </c>
      <c r="B147" s="1">
        <v>0.4319</v>
      </c>
      <c r="C147" s="1">
        <v>0.467624</v>
      </c>
      <c r="D147" s="1">
        <v>0.548386</v>
      </c>
      <c r="E147" s="1">
        <v>0.592378</v>
      </c>
      <c r="F147" s="1">
        <v>0.643126</v>
      </c>
      <c r="G147" s="1">
        <v>0.685519935</v>
      </c>
      <c r="Q147" s="1" t="s">
        <v>8</v>
      </c>
    </row>
    <row r="148" spans="1:17">
      <c r="A148" s="1">
        <v>146</v>
      </c>
      <c r="B148" s="1">
        <v>0.60263</v>
      </c>
      <c r="C148" s="1">
        <v>0.615897</v>
      </c>
      <c r="D148" s="1">
        <v>0.733509</v>
      </c>
      <c r="E148" s="1">
        <v>0.744551</v>
      </c>
      <c r="F148" s="1">
        <v>0.789643</v>
      </c>
      <c r="G148" s="1">
        <v>0.807250247</v>
      </c>
      <c r="Q148" s="1" t="s">
        <v>8</v>
      </c>
    </row>
    <row r="149" spans="1:17">
      <c r="A149" s="1">
        <v>147</v>
      </c>
      <c r="B149" s="1">
        <v>0.617052</v>
      </c>
      <c r="C149" s="1">
        <v>0.650524</v>
      </c>
      <c r="D149" s="1">
        <v>0.752979</v>
      </c>
      <c r="E149" s="1">
        <v>0.77942</v>
      </c>
      <c r="F149" s="1">
        <v>0.711252</v>
      </c>
      <c r="G149" s="1">
        <v>0.74109488</v>
      </c>
      <c r="Q149" s="1" t="s">
        <v>8</v>
      </c>
    </row>
    <row r="150" spans="1:17">
      <c r="A150" s="1">
        <v>148</v>
      </c>
      <c r="B150" s="1">
        <v>0.662797</v>
      </c>
      <c r="C150" s="1">
        <v>0.734194</v>
      </c>
      <c r="D150" s="1">
        <v>0.795439</v>
      </c>
      <c r="E150" s="1">
        <v>0.835675</v>
      </c>
      <c r="F150" s="1">
        <v>0.689555</v>
      </c>
      <c r="G150" s="1">
        <v>0.75851248</v>
      </c>
      <c r="Q150" s="1" t="s">
        <v>8</v>
      </c>
    </row>
    <row r="151" spans="1:17">
      <c r="A151" s="1">
        <v>149</v>
      </c>
      <c r="B151" s="1">
        <v>0.552707</v>
      </c>
      <c r="C151" s="1">
        <v>0.584753</v>
      </c>
      <c r="D151" s="1">
        <v>0.677862</v>
      </c>
      <c r="E151" s="1">
        <v>0.708778</v>
      </c>
      <c r="F151" s="1">
        <v>0.893784</v>
      </c>
      <c r="G151" s="1">
        <v>0.910020796</v>
      </c>
      <c r="Q151" s="1" t="s">
        <v>8</v>
      </c>
    </row>
    <row r="152" spans="1:17">
      <c r="A152" s="1">
        <v>150</v>
      </c>
      <c r="B152" s="1">
        <v>0.619395</v>
      </c>
      <c r="C152" s="1">
        <v>0.642144</v>
      </c>
      <c r="D152" s="1">
        <v>0.754789</v>
      </c>
      <c r="E152" s="1">
        <v>0.772989</v>
      </c>
      <c r="F152" s="1">
        <v>0.700917</v>
      </c>
      <c r="G152" s="1">
        <v>0.721188299</v>
      </c>
      <c r="Q152" s="1" t="s">
        <v>8</v>
      </c>
    </row>
    <row r="153" spans="1:17">
      <c r="A153" s="1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Q153" s="1" t="s">
        <v>8</v>
      </c>
    </row>
    <row r="154" spans="1:17">
      <c r="A154" s="1">
        <v>152</v>
      </c>
      <c r="B154" s="1">
        <v>0.45239</v>
      </c>
      <c r="C154" s="1">
        <v>0.530885</v>
      </c>
      <c r="D154" s="1">
        <v>0.561825</v>
      </c>
      <c r="E154" s="1">
        <v>0.646291</v>
      </c>
      <c r="F154" s="1">
        <v>0.995105</v>
      </c>
      <c r="G154" s="1">
        <v>0.997731254</v>
      </c>
      <c r="Q154" s="1" t="s">
        <v>8</v>
      </c>
    </row>
    <row r="155" spans="1:17">
      <c r="A155" s="1">
        <v>153</v>
      </c>
      <c r="B155" s="1">
        <v>0.636878</v>
      </c>
      <c r="C155" s="1">
        <v>0.658988</v>
      </c>
      <c r="D155" s="1">
        <v>0.77308</v>
      </c>
      <c r="E155" s="1">
        <v>0.789234</v>
      </c>
      <c r="F155" s="1">
        <v>0.990432</v>
      </c>
      <c r="G155" s="1">
        <v>0.99325256</v>
      </c>
      <c r="Q155" s="1" t="s">
        <v>8</v>
      </c>
    </row>
    <row r="156" spans="1:17">
      <c r="A156" s="1">
        <v>154</v>
      </c>
      <c r="B156" s="1">
        <v>0.581033</v>
      </c>
      <c r="C156" s="1">
        <v>0.641587</v>
      </c>
      <c r="D156" s="1">
        <v>0.709797</v>
      </c>
      <c r="E156" s="1">
        <v>0.762329</v>
      </c>
      <c r="F156" s="1">
        <v>0.750138</v>
      </c>
      <c r="G156" s="1">
        <v>0.799536494</v>
      </c>
      <c r="Q156" s="1" t="s">
        <v>8</v>
      </c>
    </row>
    <row r="157" spans="1:17">
      <c r="A157" s="1">
        <v>155</v>
      </c>
      <c r="B157" s="1">
        <v>0.71152</v>
      </c>
      <c r="C157" s="1">
        <v>0.739864</v>
      </c>
      <c r="D157" s="1">
        <v>0.816354</v>
      </c>
      <c r="E157" s="1">
        <v>0.830835</v>
      </c>
      <c r="F157" s="1">
        <v>1.0000000009</v>
      </c>
      <c r="G157" s="1">
        <v>1.0000000009</v>
      </c>
      <c r="Q157" s="1" t="s">
        <v>8</v>
      </c>
    </row>
    <row r="158" spans="1:17">
      <c r="A158" s="1">
        <v>156</v>
      </c>
      <c r="B158" s="1">
        <v>0.736854</v>
      </c>
      <c r="C158" s="1">
        <v>0.78235</v>
      </c>
      <c r="D158" s="1">
        <v>0.840615</v>
      </c>
      <c r="E158" s="1">
        <v>0.862817</v>
      </c>
      <c r="F158" s="1">
        <v>1.0000000001</v>
      </c>
      <c r="G158" s="1">
        <v>1.0000000013</v>
      </c>
      <c r="Q158" s="1" t="s">
        <v>8</v>
      </c>
    </row>
    <row r="159" spans="1:17">
      <c r="A159" s="1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Q159" s="1" t="s">
        <v>8</v>
      </c>
    </row>
    <row r="160" spans="1:17">
      <c r="A160" s="1">
        <v>158</v>
      </c>
      <c r="B160" s="1">
        <v>0.51474</v>
      </c>
      <c r="C160" s="1">
        <v>0.548698</v>
      </c>
      <c r="D160" s="1">
        <v>0.648481</v>
      </c>
      <c r="E160" s="1">
        <v>0.682551</v>
      </c>
      <c r="F160" s="1">
        <v>0.855401</v>
      </c>
      <c r="G160" s="1">
        <v>0.872319696</v>
      </c>
      <c r="Q160" s="1" t="s">
        <v>8</v>
      </c>
    </row>
    <row r="161" spans="1:17">
      <c r="A161" s="1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Q161" s="1" t="s">
        <v>8</v>
      </c>
    </row>
    <row r="162" spans="1:17">
      <c r="A162" s="1">
        <v>160</v>
      </c>
      <c r="B162" s="1">
        <v>0.609121</v>
      </c>
      <c r="C162" s="1">
        <v>0.635864</v>
      </c>
      <c r="D162" s="1">
        <v>0.740852</v>
      </c>
      <c r="E162" s="1">
        <v>0.76357</v>
      </c>
      <c r="F162" s="1">
        <v>0.682918</v>
      </c>
      <c r="G162" s="1">
        <v>0.706778497</v>
      </c>
      <c r="Q162" s="1" t="s">
        <v>8</v>
      </c>
    </row>
    <row r="163" spans="1:17">
      <c r="A163" s="1">
        <v>161</v>
      </c>
      <c r="B163" s="1">
        <v>0.619515</v>
      </c>
      <c r="C163" s="1">
        <v>0.642074</v>
      </c>
      <c r="D163" s="1">
        <v>0.745617</v>
      </c>
      <c r="E163" s="1">
        <v>0.762533</v>
      </c>
      <c r="F163" s="1">
        <v>0.686425</v>
      </c>
      <c r="G163" s="1">
        <v>0.708606779</v>
      </c>
      <c r="Q163" s="1" t="s">
        <v>8</v>
      </c>
    </row>
    <row r="164" spans="1:17">
      <c r="A164" s="1">
        <v>162</v>
      </c>
      <c r="B164" s="1">
        <v>0.710353</v>
      </c>
      <c r="C164" s="1">
        <v>0.747418</v>
      </c>
      <c r="D164" s="1">
        <v>0.806015</v>
      </c>
      <c r="E164" s="1">
        <v>0.826547</v>
      </c>
      <c r="F164" s="1">
        <v>0.998986</v>
      </c>
      <c r="G164" s="1">
        <v>0.9999446209</v>
      </c>
      <c r="Q164" s="1" t="s">
        <v>8</v>
      </c>
    </row>
    <row r="165" spans="1:17">
      <c r="A165" s="1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Q165" s="1" t="s">
        <v>8</v>
      </c>
    </row>
    <row r="166" spans="1:17">
      <c r="A166" s="1">
        <v>164</v>
      </c>
      <c r="B166" s="1">
        <v>0.654077</v>
      </c>
      <c r="C166" s="1">
        <v>0.705146</v>
      </c>
      <c r="D166" s="1">
        <v>0.799119</v>
      </c>
      <c r="E166" s="1">
        <v>0.830528</v>
      </c>
      <c r="F166" s="1">
        <v>0.998984</v>
      </c>
      <c r="G166" s="1">
        <v>1.0000000007</v>
      </c>
      <c r="Q166" s="1" t="s">
        <v>8</v>
      </c>
    </row>
    <row r="167" spans="1:17">
      <c r="A167" s="1">
        <v>165</v>
      </c>
      <c r="B167" s="1">
        <v>0.546084</v>
      </c>
      <c r="C167" s="1">
        <v>0.609207</v>
      </c>
      <c r="D167" s="1">
        <v>0.665962</v>
      </c>
      <c r="E167" s="1">
        <v>0.725044</v>
      </c>
      <c r="F167" s="1">
        <v>0.727871</v>
      </c>
      <c r="G167" s="1">
        <v>0.772946407</v>
      </c>
      <c r="Q167" s="1" t="s">
        <v>8</v>
      </c>
    </row>
    <row r="168" spans="1:17">
      <c r="A168" s="1">
        <v>166</v>
      </c>
      <c r="B168" s="1">
        <v>0.651578</v>
      </c>
      <c r="C168" s="1">
        <v>0.662774</v>
      </c>
      <c r="D168" s="1">
        <v>0.796602</v>
      </c>
      <c r="E168" s="1">
        <v>0.804768</v>
      </c>
      <c r="F168" s="1">
        <v>0.96052</v>
      </c>
      <c r="G168" s="1">
        <v>0.966287941</v>
      </c>
      <c r="Q168" s="1" t="s">
        <v>8</v>
      </c>
    </row>
    <row r="169" spans="1:17">
      <c r="A169" s="1">
        <v>167</v>
      </c>
      <c r="B169" s="1">
        <v>0.635849</v>
      </c>
      <c r="C169" s="1">
        <v>0.664686</v>
      </c>
      <c r="D169" s="1">
        <v>0.772276</v>
      </c>
      <c r="E169" s="1">
        <v>0.793472</v>
      </c>
      <c r="F169" s="1">
        <v>0.832597</v>
      </c>
      <c r="G169" s="1">
        <v>0.858115378</v>
      </c>
      <c r="Q169" s="1" t="s">
        <v>8</v>
      </c>
    </row>
    <row r="170" spans="1:17">
      <c r="A170" s="1">
        <v>168</v>
      </c>
      <c r="B170" s="1">
        <v>0.6288</v>
      </c>
      <c r="C170" s="1">
        <v>0.652045</v>
      </c>
      <c r="D170" s="1">
        <v>0.767363</v>
      </c>
      <c r="E170" s="1">
        <v>0.785192</v>
      </c>
      <c r="F170" s="1">
        <v>0.695167</v>
      </c>
      <c r="G170" s="1">
        <v>0.716291377</v>
      </c>
      <c r="Q170" s="1" t="s">
        <v>8</v>
      </c>
    </row>
    <row r="171" spans="1:17">
      <c r="A171" s="1">
        <v>169</v>
      </c>
      <c r="B171" s="1">
        <v>0.576645</v>
      </c>
      <c r="C171" s="1">
        <v>0.598007</v>
      </c>
      <c r="D171" s="1">
        <v>0.719418</v>
      </c>
      <c r="E171" s="1">
        <v>0.739459</v>
      </c>
      <c r="F171" s="1">
        <v>0.988303</v>
      </c>
      <c r="G171" s="1">
        <v>0.991221606</v>
      </c>
      <c r="Q171" s="1" t="s">
        <v>8</v>
      </c>
    </row>
    <row r="172" spans="1:17">
      <c r="A172" s="1">
        <v>170</v>
      </c>
      <c r="B172" s="1">
        <v>0.589912</v>
      </c>
      <c r="C172" s="1">
        <v>0.693885</v>
      </c>
      <c r="D172" s="1">
        <v>0.745123</v>
      </c>
      <c r="E172" s="1">
        <v>0.824575</v>
      </c>
      <c r="F172" s="1">
        <v>0.99962</v>
      </c>
      <c r="G172" s="1">
        <v>0.9999999996</v>
      </c>
      <c r="Q172" s="1" t="s">
        <v>8</v>
      </c>
    </row>
    <row r="173" spans="1:17">
      <c r="A173" s="1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Q173" s="1" t="s">
        <v>8</v>
      </c>
    </row>
    <row r="174" spans="1:17">
      <c r="A174" s="1">
        <v>172</v>
      </c>
      <c r="B174" s="1">
        <v>0.602851</v>
      </c>
      <c r="C174" s="1">
        <v>0.633815</v>
      </c>
      <c r="D174" s="1">
        <v>0.732491</v>
      </c>
      <c r="E174" s="1">
        <v>0.758942</v>
      </c>
      <c r="F174" s="1">
        <v>0.672311</v>
      </c>
      <c r="G174" s="1">
        <v>0.698233561</v>
      </c>
      <c r="Q174" s="1" t="s">
        <v>8</v>
      </c>
    </row>
    <row r="175" spans="1:17">
      <c r="A175" s="1">
        <v>173</v>
      </c>
      <c r="B175" s="1">
        <v>0.490419</v>
      </c>
      <c r="C175" s="1">
        <v>0.539193</v>
      </c>
      <c r="D175" s="1">
        <v>0.607941</v>
      </c>
      <c r="E175" s="1">
        <v>0.657236</v>
      </c>
      <c r="F175" s="1">
        <v>0.726312</v>
      </c>
      <c r="G175" s="1">
        <v>0.757465341</v>
      </c>
      <c r="Q175" s="1" t="s">
        <v>8</v>
      </c>
    </row>
    <row r="176" spans="1:17">
      <c r="A176" s="1">
        <v>174</v>
      </c>
      <c r="B176" s="1">
        <v>0.573349</v>
      </c>
      <c r="C176" s="1">
        <v>0.599757</v>
      </c>
      <c r="D176" s="1">
        <v>0.702302</v>
      </c>
      <c r="E176" s="1">
        <v>0.727746</v>
      </c>
      <c r="F176" s="1">
        <v>0.603424</v>
      </c>
      <c r="G176" s="1">
        <v>0.626422012</v>
      </c>
      <c r="Q176" s="1" t="s">
        <v>8</v>
      </c>
    </row>
    <row r="177" spans="1:17">
      <c r="A177" s="1">
        <v>175</v>
      </c>
      <c r="B177" s="1">
        <v>0.586658</v>
      </c>
      <c r="C177" s="1">
        <v>0.604481</v>
      </c>
      <c r="D177" s="1">
        <v>0.71236</v>
      </c>
      <c r="E177" s="1">
        <v>0.728497</v>
      </c>
      <c r="F177" s="1">
        <v>0.621267</v>
      </c>
      <c r="G177" s="1">
        <v>0.636027257</v>
      </c>
      <c r="Q177" s="1" t="s">
        <v>8</v>
      </c>
    </row>
    <row r="178" spans="1:17">
      <c r="A178" s="1">
        <v>176</v>
      </c>
      <c r="B178" s="1">
        <v>0.654122</v>
      </c>
      <c r="C178" s="1">
        <v>0.668239</v>
      </c>
      <c r="D178" s="1">
        <v>0.775031</v>
      </c>
      <c r="E178" s="1">
        <v>0.785109</v>
      </c>
      <c r="F178" s="1">
        <v>0.943706</v>
      </c>
      <c r="G178" s="1">
        <v>0.949405715</v>
      </c>
      <c r="Q178" s="1" t="s">
        <v>8</v>
      </c>
    </row>
    <row r="179" spans="1:17">
      <c r="A179" s="1">
        <v>177</v>
      </c>
      <c r="B179" s="1">
        <v>0.525659</v>
      </c>
      <c r="C179" s="1">
        <v>0.555359</v>
      </c>
      <c r="D179" s="1">
        <v>0.644941</v>
      </c>
      <c r="E179" s="1">
        <v>0.674075</v>
      </c>
      <c r="F179" s="1">
        <v>0.613757</v>
      </c>
      <c r="G179" s="1">
        <v>0.633108418</v>
      </c>
      <c r="Q179" s="1" t="s">
        <v>8</v>
      </c>
    </row>
    <row r="180" spans="1:17">
      <c r="A180" s="1">
        <v>178</v>
      </c>
      <c r="B180" s="1">
        <v>0.579378</v>
      </c>
      <c r="C180" s="1">
        <v>0.598981</v>
      </c>
      <c r="D180" s="1">
        <v>0.705805</v>
      </c>
      <c r="E180" s="1">
        <v>0.723726</v>
      </c>
      <c r="F180" s="1">
        <v>0.627463</v>
      </c>
      <c r="G180" s="1">
        <v>0.643983286</v>
      </c>
      <c r="Q180" s="1" t="s">
        <v>8</v>
      </c>
    </row>
    <row r="181" spans="1:17">
      <c r="A181" s="1">
        <v>179</v>
      </c>
      <c r="B181" s="1">
        <v>0.594456</v>
      </c>
      <c r="C181" s="1">
        <v>0.621206</v>
      </c>
      <c r="D181" s="1">
        <v>0.725768</v>
      </c>
      <c r="E181" s="1">
        <v>0.749468</v>
      </c>
      <c r="F181" s="1">
        <v>0.74</v>
      </c>
      <c r="G181" s="1">
        <v>0.761240438</v>
      </c>
      <c r="Q181" s="1" t="s">
        <v>8</v>
      </c>
    </row>
    <row r="182" spans="1:17">
      <c r="A182" s="1">
        <v>180</v>
      </c>
      <c r="B182" s="1">
        <v>0.506943</v>
      </c>
      <c r="C182" s="1">
        <v>0.565185</v>
      </c>
      <c r="D182" s="1">
        <v>0.641082</v>
      </c>
      <c r="E182" s="1">
        <v>0.698781</v>
      </c>
      <c r="F182" s="1">
        <v>0.662452</v>
      </c>
      <c r="G182" s="1">
        <v>0.706837573</v>
      </c>
      <c r="Q182" s="1" t="s">
        <v>8</v>
      </c>
    </row>
    <row r="183" spans="1:17">
      <c r="A183" s="1">
        <v>181</v>
      </c>
      <c r="B183" s="1">
        <v>0.615992</v>
      </c>
      <c r="C183" s="1">
        <v>0.636037</v>
      </c>
      <c r="D183" s="1">
        <v>0.742489</v>
      </c>
      <c r="E183" s="1">
        <v>0.759055</v>
      </c>
      <c r="F183" s="1">
        <v>0.682902</v>
      </c>
      <c r="G183" s="1">
        <v>0.700870429</v>
      </c>
      <c r="Q183" s="1" t="s">
        <v>8</v>
      </c>
    </row>
    <row r="184" spans="1:17">
      <c r="A184" s="1">
        <v>182</v>
      </c>
      <c r="B184" s="1">
        <v>0.271356</v>
      </c>
      <c r="C184" s="1">
        <v>0.526878</v>
      </c>
      <c r="D184" s="1">
        <v>0.365519</v>
      </c>
      <c r="E184" s="1">
        <v>0.677176</v>
      </c>
      <c r="F184" s="1">
        <v>0.775138</v>
      </c>
      <c r="G184" s="1">
        <v>0.901501077</v>
      </c>
      <c r="Q184" s="1" t="s">
        <v>8</v>
      </c>
    </row>
    <row r="185" spans="1:17">
      <c r="A185" s="1">
        <v>183</v>
      </c>
      <c r="B185" s="1">
        <v>0.599786</v>
      </c>
      <c r="C185" s="1">
        <v>0.616026</v>
      </c>
      <c r="D185" s="1">
        <v>0.728328</v>
      </c>
      <c r="E185" s="1">
        <v>0.742432</v>
      </c>
      <c r="F185" s="1">
        <v>0.628067</v>
      </c>
      <c r="G185" s="1">
        <v>0.643796885</v>
      </c>
      <c r="Q185" s="1" t="s">
        <v>8</v>
      </c>
    </row>
    <row r="186" spans="1:17">
      <c r="A186" s="1">
        <v>184</v>
      </c>
      <c r="B186" s="1">
        <v>0.581495</v>
      </c>
      <c r="C186" s="1">
        <v>0.604214</v>
      </c>
      <c r="D186" s="1">
        <v>0.710067</v>
      </c>
      <c r="E186" s="1">
        <v>0.730868</v>
      </c>
      <c r="F186" s="1">
        <v>0.657654</v>
      </c>
      <c r="G186" s="1">
        <v>0.676006557</v>
      </c>
      <c r="Q186" s="1" t="s">
        <v>8</v>
      </c>
    </row>
    <row r="187" spans="1:17">
      <c r="A187" s="1">
        <v>185</v>
      </c>
      <c r="B187" s="1">
        <v>0.57505</v>
      </c>
      <c r="C187" s="1">
        <v>0.592945</v>
      </c>
      <c r="D187" s="1">
        <v>0.701919</v>
      </c>
      <c r="E187" s="1">
        <v>0.718467</v>
      </c>
      <c r="F187" s="1">
        <v>0.662506</v>
      </c>
      <c r="G187" s="1">
        <v>0.676981892</v>
      </c>
      <c r="Q187" s="1" t="s">
        <v>8</v>
      </c>
    </row>
    <row r="188" spans="1:17">
      <c r="A188" s="1">
        <v>186</v>
      </c>
      <c r="B188" s="1">
        <v>0.595724</v>
      </c>
      <c r="C188" s="1">
        <v>0.609741</v>
      </c>
      <c r="D188" s="1">
        <v>0.722556</v>
      </c>
      <c r="E188" s="1">
        <v>0.734639</v>
      </c>
      <c r="F188" s="1">
        <v>0.650918</v>
      </c>
      <c r="G188" s="1">
        <v>0.663529395</v>
      </c>
      <c r="Q188" s="1" t="s">
        <v>8</v>
      </c>
    </row>
    <row r="189" spans="1:17">
      <c r="A189" s="1">
        <v>187</v>
      </c>
      <c r="B189" s="1">
        <v>0.593862</v>
      </c>
      <c r="C189" s="1">
        <v>0.619599</v>
      </c>
      <c r="D189" s="1">
        <v>0.714394</v>
      </c>
      <c r="E189" s="1">
        <v>0.736466</v>
      </c>
      <c r="F189" s="1">
        <v>0.650418</v>
      </c>
      <c r="G189" s="1">
        <v>0.673582852</v>
      </c>
      <c r="Q189" s="1" t="s">
        <v>8</v>
      </c>
    </row>
    <row r="190" spans="1:17">
      <c r="A190" s="1">
        <v>188</v>
      </c>
      <c r="B190" s="1">
        <v>0.613305</v>
      </c>
      <c r="C190" s="1">
        <v>0.627914</v>
      </c>
      <c r="D190" s="1">
        <v>0.737721</v>
      </c>
      <c r="E190" s="1">
        <v>0.749554</v>
      </c>
      <c r="F190" s="1">
        <v>0.676779</v>
      </c>
      <c r="G190" s="1">
        <v>0.690634169</v>
      </c>
      <c r="Q190" s="1" t="s">
        <v>8</v>
      </c>
    </row>
    <row r="191" spans="1:17">
      <c r="A191" s="1">
        <v>189</v>
      </c>
      <c r="B191" s="1">
        <v>0.610925</v>
      </c>
      <c r="C191" s="1">
        <v>0.628604</v>
      </c>
      <c r="D191" s="1">
        <v>0.737407</v>
      </c>
      <c r="E191" s="1">
        <v>0.752157</v>
      </c>
      <c r="F191" s="1">
        <v>0.764825</v>
      </c>
      <c r="G191" s="1">
        <v>0.782844184</v>
      </c>
      <c r="Q191" s="1" t="s">
        <v>8</v>
      </c>
    </row>
    <row r="192" spans="1:17">
      <c r="A192" s="1">
        <v>190</v>
      </c>
      <c r="B192" s="1">
        <v>0.56761</v>
      </c>
      <c r="C192" s="1">
        <v>0.592082</v>
      </c>
      <c r="D192" s="1">
        <v>0.691227</v>
      </c>
      <c r="E192" s="1">
        <v>0.713526</v>
      </c>
      <c r="F192" s="1">
        <v>0.595044</v>
      </c>
      <c r="G192" s="1">
        <v>0.616755037</v>
      </c>
      <c r="Q192" s="1" t="s">
        <v>8</v>
      </c>
    </row>
    <row r="193" spans="1:17">
      <c r="A193" s="1">
        <v>191</v>
      </c>
      <c r="B193" s="1">
        <v>0.57844</v>
      </c>
      <c r="C193" s="1">
        <v>0.606385</v>
      </c>
      <c r="D193" s="1">
        <v>0.706431</v>
      </c>
      <c r="E193" s="1">
        <v>0.73249</v>
      </c>
      <c r="F193" s="1">
        <v>0.620224</v>
      </c>
      <c r="G193" s="1">
        <v>0.643356073</v>
      </c>
      <c r="Q193" s="1" t="s">
        <v>8</v>
      </c>
    </row>
    <row r="194" spans="1:17">
      <c r="A194" s="1">
        <v>192</v>
      </c>
      <c r="B194" s="1">
        <v>0.636424</v>
      </c>
      <c r="C194" s="1">
        <v>0.658463</v>
      </c>
      <c r="D194" s="1">
        <v>0.764642</v>
      </c>
      <c r="E194" s="1">
        <v>0.780574</v>
      </c>
      <c r="F194" s="1">
        <v>0.667059</v>
      </c>
      <c r="G194" s="1">
        <v>0.688352756</v>
      </c>
      <c r="Q194" s="1" t="s">
        <v>8</v>
      </c>
    </row>
    <row r="195" spans="1:17">
      <c r="A195" s="1">
        <v>193</v>
      </c>
      <c r="B195" s="1">
        <v>0.673337</v>
      </c>
      <c r="C195" s="1">
        <v>0.693126</v>
      </c>
      <c r="D195" s="1">
        <v>0.79754</v>
      </c>
      <c r="E195" s="1">
        <v>0.809464</v>
      </c>
      <c r="F195" s="1">
        <v>0.762031</v>
      </c>
      <c r="G195" s="1">
        <v>0.781843319</v>
      </c>
      <c r="Q195" s="1" t="s">
        <v>8</v>
      </c>
    </row>
    <row r="196" spans="1:17">
      <c r="A196" s="1">
        <v>194</v>
      </c>
      <c r="B196" s="1">
        <v>0.648986</v>
      </c>
      <c r="C196" s="1">
        <v>0.662024</v>
      </c>
      <c r="D196" s="1">
        <v>0.775468</v>
      </c>
      <c r="E196" s="1">
        <v>0.784578</v>
      </c>
      <c r="F196" s="1">
        <v>0.831387</v>
      </c>
      <c r="G196" s="1">
        <v>0.844247679</v>
      </c>
      <c r="Q196" s="1" t="s">
        <v>8</v>
      </c>
    </row>
    <row r="197" spans="1:17">
      <c r="A197" s="1">
        <v>195</v>
      </c>
      <c r="B197" s="1">
        <v>0.568533</v>
      </c>
      <c r="C197" s="1">
        <v>0.609027</v>
      </c>
      <c r="D197" s="1">
        <v>0.691527</v>
      </c>
      <c r="E197" s="1">
        <v>0.728424</v>
      </c>
      <c r="F197" s="1">
        <v>0.630658</v>
      </c>
      <c r="G197" s="1">
        <v>0.663246907</v>
      </c>
      <c r="Q197" s="1" t="s">
        <v>8</v>
      </c>
    </row>
    <row r="198" spans="1:17">
      <c r="A198" s="1">
        <v>196</v>
      </c>
      <c r="B198" s="1">
        <v>0.62206</v>
      </c>
      <c r="C198" s="1">
        <v>0.637402</v>
      </c>
      <c r="D198" s="1">
        <v>0.74829</v>
      </c>
      <c r="E198" s="1">
        <v>0.760404</v>
      </c>
      <c r="F198" s="1">
        <v>0.667663</v>
      </c>
      <c r="G198" s="1">
        <v>0.682587362</v>
      </c>
      <c r="Q198" s="1" t="s">
        <v>8</v>
      </c>
    </row>
    <row r="199" spans="1:17">
      <c r="A199" s="1">
        <v>197</v>
      </c>
      <c r="B199" s="1">
        <v>0.617396</v>
      </c>
      <c r="C199" s="1">
        <v>0.634632</v>
      </c>
      <c r="D199" s="1">
        <v>0.743763</v>
      </c>
      <c r="E199" s="1">
        <v>0.757744</v>
      </c>
      <c r="F199" s="1">
        <v>0.652591</v>
      </c>
      <c r="G199" s="1">
        <v>0.669015558</v>
      </c>
      <c r="Q199" s="1" t="s">
        <v>8</v>
      </c>
    </row>
    <row r="200" spans="1:17">
      <c r="A200" s="1">
        <v>198</v>
      </c>
      <c r="B200" s="1">
        <v>0.566936</v>
      </c>
      <c r="C200" s="1">
        <v>0.590182</v>
      </c>
      <c r="D200" s="1">
        <v>0.690007</v>
      </c>
      <c r="E200" s="1">
        <v>0.711563</v>
      </c>
      <c r="F200" s="1">
        <v>0.619658</v>
      </c>
      <c r="G200" s="1">
        <v>0.638825422</v>
      </c>
      <c r="Q200" s="1" t="s">
        <v>8</v>
      </c>
    </row>
    <row r="201" spans="1:17">
      <c r="A201" s="1">
        <v>199</v>
      </c>
      <c r="B201" s="1">
        <v>0.606555</v>
      </c>
      <c r="C201" s="1">
        <v>0.638313</v>
      </c>
      <c r="D201" s="1">
        <v>0.733124</v>
      </c>
      <c r="E201" s="1">
        <v>0.759531</v>
      </c>
      <c r="F201" s="1">
        <v>0.644638</v>
      </c>
      <c r="G201" s="1">
        <v>0.673424404</v>
      </c>
      <c r="Q201" s="1" t="s">
        <v>8</v>
      </c>
    </row>
    <row r="202" spans="1:17">
      <c r="A202" s="1">
        <v>200</v>
      </c>
      <c r="B202" s="1">
        <v>0.538521</v>
      </c>
      <c r="C202" s="1">
        <v>0.57182</v>
      </c>
      <c r="D202" s="1">
        <v>0.659422</v>
      </c>
      <c r="E202" s="1">
        <v>0.692093</v>
      </c>
      <c r="F202" s="1">
        <v>0.732872</v>
      </c>
      <c r="G202" s="1">
        <v>0.753856744</v>
      </c>
      <c r="Q202" s="1" t="s">
        <v>8</v>
      </c>
    </row>
    <row r="203" spans="1:17">
      <c r="A203" s="1">
        <v>201</v>
      </c>
      <c r="B203" s="1">
        <v>0.560296</v>
      </c>
      <c r="C203" s="1">
        <v>0.582266</v>
      </c>
      <c r="D203" s="1">
        <v>0.68661</v>
      </c>
      <c r="E203" s="1">
        <v>0.707751</v>
      </c>
      <c r="F203" s="1">
        <v>0.639923</v>
      </c>
      <c r="G203" s="1">
        <v>0.656908298</v>
      </c>
      <c r="Q203" s="1" t="s">
        <v>8</v>
      </c>
    </row>
    <row r="204" spans="1:17">
      <c r="A204" s="1">
        <v>202</v>
      </c>
      <c r="B204" s="1">
        <v>0</v>
      </c>
      <c r="C204" s="1">
        <v>0</v>
      </c>
      <c r="D204" s="1">
        <v>0.084122</v>
      </c>
      <c r="E204" s="1">
        <v>0.084122</v>
      </c>
      <c r="F204" s="1">
        <v>0.216738</v>
      </c>
      <c r="G204" s="1">
        <v>0.220796558</v>
      </c>
      <c r="Q204" s="1" t="s">
        <v>8</v>
      </c>
    </row>
    <row r="205" spans="1:17">
      <c r="A205" s="1">
        <v>203</v>
      </c>
      <c r="B205" s="1">
        <v>0.541611</v>
      </c>
      <c r="C205" s="1">
        <v>0.57061</v>
      </c>
      <c r="D205" s="1">
        <v>0.658088</v>
      </c>
      <c r="E205" s="1">
        <v>0.686354</v>
      </c>
      <c r="F205" s="1">
        <v>0.591274</v>
      </c>
      <c r="G205" s="1">
        <v>0.613717515</v>
      </c>
      <c r="Q205" s="1" t="s">
        <v>8</v>
      </c>
    </row>
    <row r="206" spans="1:17">
      <c r="A206" s="1">
        <v>204</v>
      </c>
      <c r="B206" s="1">
        <v>0.630494</v>
      </c>
      <c r="C206" s="1">
        <v>0.645305</v>
      </c>
      <c r="D206" s="1">
        <v>0.755906</v>
      </c>
      <c r="E206" s="1">
        <v>0.767186</v>
      </c>
      <c r="F206" s="1">
        <v>0.680147</v>
      </c>
      <c r="G206" s="1">
        <v>0.694435662</v>
      </c>
      <c r="Q206" s="1" t="s">
        <v>8</v>
      </c>
    </row>
    <row r="207" spans="1:17">
      <c r="A207" s="1">
        <v>205</v>
      </c>
      <c r="B207" s="1">
        <v>0.609054</v>
      </c>
      <c r="C207" s="1">
        <v>0.628023</v>
      </c>
      <c r="D207" s="1">
        <v>0.740236</v>
      </c>
      <c r="E207" s="1">
        <v>0.75645</v>
      </c>
      <c r="F207" s="1">
        <v>0.779724</v>
      </c>
      <c r="G207" s="1">
        <v>0.797338154</v>
      </c>
      <c r="Q207" s="1" t="s">
        <v>8</v>
      </c>
    </row>
    <row r="208" spans="1:17">
      <c r="A208" s="1">
        <v>206</v>
      </c>
      <c r="B208" s="1">
        <v>0.577518</v>
      </c>
      <c r="C208" s="1">
        <v>0.595314</v>
      </c>
      <c r="D208" s="1">
        <v>0.705284</v>
      </c>
      <c r="E208" s="1">
        <v>0.721882</v>
      </c>
      <c r="F208" s="1">
        <v>0.708648</v>
      </c>
      <c r="G208" s="1">
        <v>0.722733399</v>
      </c>
      <c r="Q208" s="1" t="s">
        <v>8</v>
      </c>
    </row>
    <row r="209" spans="1:17">
      <c r="A209" s="1">
        <v>207</v>
      </c>
      <c r="B209" s="1">
        <v>0.534681</v>
      </c>
      <c r="C209" s="1">
        <v>0.563209</v>
      </c>
      <c r="D209" s="1">
        <v>0.657261</v>
      </c>
      <c r="E209" s="1">
        <v>0.685302</v>
      </c>
      <c r="F209" s="1">
        <v>0.693767</v>
      </c>
      <c r="G209" s="1">
        <v>0.713179997</v>
      </c>
      <c r="Q209" s="1" t="s">
        <v>8</v>
      </c>
    </row>
    <row r="210" spans="1:17">
      <c r="A210" s="1">
        <v>208</v>
      </c>
      <c r="B210" s="1">
        <v>0.479505</v>
      </c>
      <c r="C210" s="1">
        <v>0.514838</v>
      </c>
      <c r="D210" s="1">
        <v>0.603271</v>
      </c>
      <c r="E210" s="1">
        <v>0.64096</v>
      </c>
      <c r="F210" s="1">
        <v>0.718433</v>
      </c>
      <c r="G210" s="1">
        <v>0.74869394</v>
      </c>
      <c r="Q210" s="1" t="s">
        <v>8</v>
      </c>
    </row>
    <row r="211" spans="1:17">
      <c r="A211" s="1">
        <v>209</v>
      </c>
      <c r="B211" s="1">
        <v>0.641493</v>
      </c>
      <c r="C211" s="1">
        <v>0.657904</v>
      </c>
      <c r="D211" s="1">
        <v>0.767725</v>
      </c>
      <c r="E211" s="1">
        <v>0.779716</v>
      </c>
      <c r="F211" s="1">
        <v>0.903029</v>
      </c>
      <c r="G211" s="1">
        <v>0.908648231</v>
      </c>
      <c r="Q211" s="1" t="s">
        <v>8</v>
      </c>
    </row>
    <row r="212" spans="1:17">
      <c r="A212" s="1">
        <v>210</v>
      </c>
      <c r="B212" s="1">
        <v>0.635177</v>
      </c>
      <c r="C212" s="1">
        <v>0.649962</v>
      </c>
      <c r="D212" s="1">
        <v>0.761994</v>
      </c>
      <c r="E212" s="1">
        <v>0.773903</v>
      </c>
      <c r="F212" s="1">
        <v>0.729009</v>
      </c>
      <c r="G212" s="1">
        <v>0.743742978</v>
      </c>
      <c r="Q212" s="1" t="s">
        <v>8</v>
      </c>
    </row>
    <row r="213" spans="1:17">
      <c r="A213" s="1">
        <v>211</v>
      </c>
      <c r="B213" s="1">
        <v>0.560158</v>
      </c>
      <c r="C213" s="1">
        <v>0.584967</v>
      </c>
      <c r="D213" s="1">
        <v>0.679944</v>
      </c>
      <c r="E213" s="1">
        <v>0.703566</v>
      </c>
      <c r="F213" s="1">
        <v>0.649911</v>
      </c>
      <c r="G213" s="1">
        <v>0.668563843</v>
      </c>
      <c r="Q213" s="1" t="s">
        <v>8</v>
      </c>
    </row>
    <row r="214" spans="1:17">
      <c r="A214" s="1">
        <v>212</v>
      </c>
      <c r="B214" s="1">
        <v>0.464864</v>
      </c>
      <c r="C214" s="1">
        <v>0.515095</v>
      </c>
      <c r="D214" s="1">
        <v>0.579588</v>
      </c>
      <c r="E214" s="1">
        <v>0.63334</v>
      </c>
      <c r="F214" s="1">
        <v>0.552278</v>
      </c>
      <c r="G214" s="1">
        <v>0.594115436</v>
      </c>
      <c r="Q214" s="1" t="s">
        <v>8</v>
      </c>
    </row>
    <row r="215" spans="1:17">
      <c r="A215" s="1">
        <v>213</v>
      </c>
      <c r="B215" s="1">
        <v>0.674846</v>
      </c>
      <c r="C215" s="1">
        <v>0.688814</v>
      </c>
      <c r="D215" s="1">
        <v>0.805194</v>
      </c>
      <c r="E215" s="1">
        <v>0.81362</v>
      </c>
      <c r="F215" s="1">
        <v>0.885016</v>
      </c>
      <c r="G215" s="1">
        <v>0.895831927</v>
      </c>
      <c r="Q215" s="1" t="s">
        <v>8</v>
      </c>
    </row>
    <row r="216" spans="1:17">
      <c r="A216" s="1">
        <v>214</v>
      </c>
      <c r="B216" s="1">
        <v>0.059728</v>
      </c>
      <c r="C216" s="1">
        <v>0.20579</v>
      </c>
      <c r="D216" s="1">
        <v>0.139465</v>
      </c>
      <c r="E216" s="1">
        <v>0.285805</v>
      </c>
      <c r="F216" s="1">
        <v>0.455205</v>
      </c>
      <c r="G216" s="1">
        <v>0.571617024</v>
      </c>
      <c r="Q216" s="1" t="s">
        <v>8</v>
      </c>
    </row>
    <row r="217" spans="1:17">
      <c r="A217" s="1">
        <v>215</v>
      </c>
      <c r="B217" s="1">
        <v>0.247934</v>
      </c>
      <c r="C217" s="1">
        <v>0.536326</v>
      </c>
      <c r="D217" s="1">
        <v>0.334259</v>
      </c>
      <c r="E217" s="1">
        <v>0.677521</v>
      </c>
      <c r="F217" s="1">
        <v>0.734924</v>
      </c>
      <c r="G217" s="1">
        <v>0.914019331</v>
      </c>
      <c r="Q217" s="1" t="s">
        <v>8</v>
      </c>
    </row>
    <row r="218" spans="1:17">
      <c r="A218" s="1">
        <v>216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Q218" s="1" t="s">
        <v>8</v>
      </c>
    </row>
    <row r="219" spans="1:17">
      <c r="A219" s="1">
        <v>217</v>
      </c>
      <c r="B219" s="1">
        <v>0.469675</v>
      </c>
      <c r="C219" s="1">
        <v>0.502638</v>
      </c>
      <c r="D219" s="1">
        <v>0.578306</v>
      </c>
      <c r="E219" s="1">
        <v>0.613697</v>
      </c>
      <c r="F219" s="1">
        <v>0.628765</v>
      </c>
      <c r="G219" s="1">
        <v>0.655622429</v>
      </c>
      <c r="Q219" s="1" t="s">
        <v>8</v>
      </c>
    </row>
    <row r="220" spans="1:17">
      <c r="A220" s="1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Q220" s="1" t="s">
        <v>8</v>
      </c>
    </row>
    <row r="221" spans="1:17">
      <c r="A221" s="1">
        <v>219</v>
      </c>
      <c r="B221" s="1">
        <v>0</v>
      </c>
      <c r="C221" s="1">
        <v>0</v>
      </c>
      <c r="D221" s="1">
        <v>0.078917</v>
      </c>
      <c r="E221" s="1">
        <v>0.078917</v>
      </c>
      <c r="F221" s="1">
        <v>0.98684</v>
      </c>
      <c r="G221" s="1">
        <v>0.988831864</v>
      </c>
      <c r="Q221" s="1" t="s">
        <v>8</v>
      </c>
    </row>
    <row r="222" spans="1:17">
      <c r="A222" s="1">
        <v>220</v>
      </c>
      <c r="B222" s="1">
        <v>0</v>
      </c>
      <c r="C222" s="1">
        <v>0</v>
      </c>
      <c r="D222" s="1">
        <v>0.090626</v>
      </c>
      <c r="E222" s="1">
        <v>0.090626</v>
      </c>
      <c r="F222" s="1">
        <v>0.998335</v>
      </c>
      <c r="G222" s="1">
        <v>0.9994629</v>
      </c>
      <c r="Q222" s="1" t="s">
        <v>8</v>
      </c>
    </row>
    <row r="223" spans="1:17">
      <c r="A223" s="1">
        <v>221</v>
      </c>
      <c r="B223" s="1">
        <v>0.623137</v>
      </c>
      <c r="C223" s="1">
        <v>0.653791</v>
      </c>
      <c r="D223" s="1">
        <v>0.752549</v>
      </c>
      <c r="E223" s="1">
        <v>0.776346</v>
      </c>
      <c r="F223" s="1">
        <v>0.779932</v>
      </c>
      <c r="G223" s="1">
        <v>0.808042928</v>
      </c>
      <c r="Q223" s="1" t="s">
        <v>8</v>
      </c>
    </row>
    <row r="224" spans="1:17">
      <c r="A224" s="1">
        <v>222</v>
      </c>
      <c r="B224" s="1">
        <v>0</v>
      </c>
      <c r="C224" s="1">
        <v>0</v>
      </c>
      <c r="D224" s="1">
        <v>0.068451</v>
      </c>
      <c r="E224" s="1">
        <v>0.068451</v>
      </c>
      <c r="F224" s="1">
        <v>0.98248</v>
      </c>
      <c r="G224" s="1">
        <v>0.984511841</v>
      </c>
      <c r="Q224" s="1" t="s">
        <v>8</v>
      </c>
    </row>
    <row r="225" spans="1:17">
      <c r="A225" s="1">
        <v>223</v>
      </c>
      <c r="B225" s="1">
        <v>0.462566</v>
      </c>
      <c r="C225" s="1">
        <v>0.51464</v>
      </c>
      <c r="D225" s="1">
        <v>0.577015</v>
      </c>
      <c r="E225" s="1">
        <v>0.63288</v>
      </c>
      <c r="F225" s="1">
        <v>0.510886</v>
      </c>
      <c r="G225" s="1">
        <v>0.558611784</v>
      </c>
      <c r="Q225" s="1" t="s">
        <v>8</v>
      </c>
    </row>
    <row r="226" spans="1:17">
      <c r="A226" s="1">
        <v>224</v>
      </c>
      <c r="B226" s="1">
        <v>0.518099</v>
      </c>
      <c r="C226" s="1">
        <v>0.551646</v>
      </c>
      <c r="D226" s="1">
        <v>0.6372</v>
      </c>
      <c r="E226" s="1">
        <v>0.670226</v>
      </c>
      <c r="F226" s="1">
        <v>0.591586</v>
      </c>
      <c r="G226" s="1">
        <v>0.61496313</v>
      </c>
      <c r="Q226" s="1" t="s">
        <v>8</v>
      </c>
    </row>
    <row r="227" spans="1:17">
      <c r="A227" s="1">
        <v>225</v>
      </c>
      <c r="B227" s="1">
        <v>0.456978</v>
      </c>
      <c r="C227" s="1">
        <v>0.517091</v>
      </c>
      <c r="D227" s="1">
        <v>0.571287</v>
      </c>
      <c r="E227" s="1">
        <v>0.636565</v>
      </c>
      <c r="F227" s="1">
        <v>0.561938</v>
      </c>
      <c r="G227" s="1">
        <v>0.613572582</v>
      </c>
      <c r="Q227" s="1" t="s">
        <v>8</v>
      </c>
    </row>
    <row r="228" spans="1:17">
      <c r="A228" s="1">
        <v>226</v>
      </c>
      <c r="B228" s="1">
        <v>0.503901</v>
      </c>
      <c r="C228" s="1">
        <v>0.537539</v>
      </c>
      <c r="D228" s="1">
        <v>0.62407</v>
      </c>
      <c r="E228" s="1">
        <v>0.657947</v>
      </c>
      <c r="F228" s="1">
        <v>0.601596</v>
      </c>
      <c r="G228" s="1">
        <v>0.625882894</v>
      </c>
      <c r="Q228" s="1" t="s">
        <v>8</v>
      </c>
    </row>
    <row r="229" spans="1:17">
      <c r="A229" s="1">
        <v>227</v>
      </c>
      <c r="B229" s="1">
        <v>0.55406</v>
      </c>
      <c r="C229" s="1">
        <v>0.589399</v>
      </c>
      <c r="D229" s="1">
        <v>0.677827</v>
      </c>
      <c r="E229" s="1">
        <v>0.71185</v>
      </c>
      <c r="F229" s="1">
        <v>0.651417</v>
      </c>
      <c r="G229" s="1">
        <v>0.675017469</v>
      </c>
      <c r="Q229" s="1" t="s">
        <v>8</v>
      </c>
    </row>
    <row r="230" spans="1:17">
      <c r="A230" s="1">
        <v>228</v>
      </c>
      <c r="B230" s="1">
        <v>0.629145</v>
      </c>
      <c r="C230" s="1">
        <v>0.650805</v>
      </c>
      <c r="D230" s="1">
        <v>0.765448</v>
      </c>
      <c r="E230" s="1">
        <v>0.781957</v>
      </c>
      <c r="F230" s="1">
        <v>0.998533</v>
      </c>
      <c r="G230" s="1">
        <v>0.999397263</v>
      </c>
      <c r="Q230" s="1" t="s">
        <v>8</v>
      </c>
    </row>
    <row r="231" spans="1:17">
      <c r="A231" s="1">
        <v>229</v>
      </c>
      <c r="B231" s="1">
        <v>0.654099</v>
      </c>
      <c r="C231" s="1">
        <v>0.677557</v>
      </c>
      <c r="D231" s="1">
        <v>0.788988</v>
      </c>
      <c r="E231" s="1">
        <v>0.805089</v>
      </c>
      <c r="F231" s="1">
        <v>0.979895</v>
      </c>
      <c r="G231" s="1">
        <v>0.985632322</v>
      </c>
      <c r="Q231" s="1" t="s">
        <v>8</v>
      </c>
    </row>
    <row r="232" spans="1:17">
      <c r="A232" s="1">
        <v>230</v>
      </c>
      <c r="B232" s="1">
        <v>0.619583</v>
      </c>
      <c r="C232" s="1">
        <v>0.633249</v>
      </c>
      <c r="D232" s="1">
        <v>0.753182</v>
      </c>
      <c r="E232" s="1">
        <v>0.763598</v>
      </c>
      <c r="F232" s="1">
        <v>0.676462</v>
      </c>
      <c r="G232" s="1">
        <v>0.690094536</v>
      </c>
      <c r="Q232" s="1" t="s">
        <v>8</v>
      </c>
    </row>
    <row r="233" spans="1:17">
      <c r="A233" s="1">
        <v>231</v>
      </c>
      <c r="B233" s="1">
        <v>0.565943</v>
      </c>
      <c r="C233" s="1">
        <v>0.57694</v>
      </c>
      <c r="D233" s="1">
        <v>0.694329</v>
      </c>
      <c r="E233" s="1">
        <v>0.70444</v>
      </c>
      <c r="F233" s="1">
        <v>0.582309</v>
      </c>
      <c r="G233" s="1">
        <v>0.593309858</v>
      </c>
      <c r="Q233" s="1" t="s">
        <v>8</v>
      </c>
    </row>
    <row r="234" spans="1:17">
      <c r="A234" s="1">
        <v>232</v>
      </c>
      <c r="B234" s="1">
        <v>0.589915</v>
      </c>
      <c r="C234" s="1">
        <v>0.602927</v>
      </c>
      <c r="D234" s="1">
        <v>0.716519</v>
      </c>
      <c r="E234" s="1">
        <v>0.727914</v>
      </c>
      <c r="F234" s="1">
        <v>0.607116</v>
      </c>
      <c r="G234" s="1">
        <v>0.61930295</v>
      </c>
      <c r="Q234" s="1" t="s">
        <v>8</v>
      </c>
    </row>
    <row r="235" spans="1:17">
      <c r="A235" s="1">
        <v>233</v>
      </c>
      <c r="B235" s="1">
        <v>0.565954</v>
      </c>
      <c r="C235" s="1">
        <v>0.589719</v>
      </c>
      <c r="D235" s="1">
        <v>0.696264</v>
      </c>
      <c r="E235" s="1">
        <v>0.71888</v>
      </c>
      <c r="F235" s="1">
        <v>0.659126</v>
      </c>
      <c r="G235" s="1">
        <v>0.67687358</v>
      </c>
      <c r="Q235" s="1" t="s">
        <v>8</v>
      </c>
    </row>
    <row r="236" spans="1:17">
      <c r="A236" s="1">
        <v>234</v>
      </c>
      <c r="B236" s="1">
        <v>0.416463</v>
      </c>
      <c r="C236" s="1">
        <v>0.460278</v>
      </c>
      <c r="D236" s="1">
        <v>0.516814</v>
      </c>
      <c r="E236" s="1">
        <v>0.570652</v>
      </c>
      <c r="F236" s="1">
        <v>0.639965</v>
      </c>
      <c r="G236" s="1">
        <v>0.680670253</v>
      </c>
      <c r="Q236" s="1" t="s">
        <v>8</v>
      </c>
    </row>
    <row r="237" spans="1:17">
      <c r="A237" s="1">
        <v>235</v>
      </c>
      <c r="B237" s="1">
        <v>0.516039</v>
      </c>
      <c r="C237" s="1">
        <v>0.548441</v>
      </c>
      <c r="D237" s="1">
        <v>0.637191</v>
      </c>
      <c r="E237" s="1">
        <v>0.669168</v>
      </c>
      <c r="F237" s="1">
        <v>0.544941</v>
      </c>
      <c r="G237" s="1">
        <v>0.573799107</v>
      </c>
      <c r="Q237" s="1" t="s">
        <v>8</v>
      </c>
    </row>
    <row r="238" spans="1:17">
      <c r="A238" s="1">
        <v>236</v>
      </c>
      <c r="B238" s="1">
        <v>0.484512</v>
      </c>
      <c r="C238" s="1">
        <v>0.52266</v>
      </c>
      <c r="D238" s="1">
        <v>0.601219</v>
      </c>
      <c r="E238" s="1">
        <v>0.640832</v>
      </c>
      <c r="F238" s="1">
        <v>0.548507</v>
      </c>
      <c r="G238" s="1">
        <v>0.581066078</v>
      </c>
      <c r="Q238" s="1" t="s">
        <v>8</v>
      </c>
    </row>
    <row r="239" spans="1:17">
      <c r="A239" s="1">
        <v>237</v>
      </c>
      <c r="B239" s="1">
        <v>0.213604</v>
      </c>
      <c r="C239" s="1">
        <v>0.241159</v>
      </c>
      <c r="D239" s="1">
        <v>0.289371</v>
      </c>
      <c r="E239" s="1">
        <v>0.318959</v>
      </c>
      <c r="F239" s="1">
        <v>0.472928</v>
      </c>
      <c r="G239" s="1">
        <v>0.503843009</v>
      </c>
      <c r="Q239" s="1" t="s">
        <v>8</v>
      </c>
    </row>
    <row r="240" spans="1:17">
      <c r="A240" s="1">
        <v>238</v>
      </c>
      <c r="B240" s="1">
        <v>0.437652</v>
      </c>
      <c r="C240" s="1">
        <v>0.499769</v>
      </c>
      <c r="D240" s="1">
        <v>0.546046</v>
      </c>
      <c r="E240" s="1">
        <v>0.616797</v>
      </c>
      <c r="F240" s="1">
        <v>0.675834</v>
      </c>
      <c r="G240" s="1">
        <v>0.721944663</v>
      </c>
      <c r="Q240" s="1" t="s">
        <v>8</v>
      </c>
    </row>
    <row r="241" spans="1:17">
      <c r="A241" s="1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Q241" s="1" t="s">
        <v>8</v>
      </c>
    </row>
    <row r="242" spans="1:17">
      <c r="A242" s="1">
        <v>240</v>
      </c>
      <c r="B242" s="1">
        <v>0.700319</v>
      </c>
      <c r="C242" s="1">
        <v>0.732628</v>
      </c>
      <c r="D242" s="1">
        <v>0.811341</v>
      </c>
      <c r="E242" s="1">
        <v>0.827599</v>
      </c>
      <c r="F242" s="1">
        <v>0.833059</v>
      </c>
      <c r="G242" s="1">
        <v>0.860106097</v>
      </c>
      <c r="Q242" s="1" t="s">
        <v>8</v>
      </c>
    </row>
    <row r="243" spans="1:17">
      <c r="A243" s="1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Q243" s="1" t="s">
        <v>8</v>
      </c>
    </row>
    <row r="244" spans="1:17">
      <c r="A244" s="1">
        <v>242</v>
      </c>
      <c r="B244" s="1">
        <v>0.61936</v>
      </c>
      <c r="C244" s="1">
        <v>0.633256</v>
      </c>
      <c r="D244" s="1">
        <v>0.758409</v>
      </c>
      <c r="E244" s="1">
        <v>0.769923</v>
      </c>
      <c r="F244" s="1">
        <v>0.999645</v>
      </c>
      <c r="G244" s="1">
        <v>0.999873734</v>
      </c>
      <c r="Q244" s="1" t="s">
        <v>8</v>
      </c>
    </row>
    <row r="245" spans="1:17">
      <c r="A245" s="1">
        <v>243</v>
      </c>
      <c r="B245" s="1">
        <v>0.599575</v>
      </c>
      <c r="C245" s="1">
        <v>0.616443</v>
      </c>
      <c r="D245" s="1">
        <v>0.734963</v>
      </c>
      <c r="E245" s="1">
        <v>0.74988</v>
      </c>
      <c r="F245" s="1">
        <v>0.725915</v>
      </c>
      <c r="G245" s="1">
        <v>0.740890714</v>
      </c>
      <c r="Q245" s="1" t="s">
        <v>8</v>
      </c>
    </row>
    <row r="246" spans="1:17">
      <c r="A246" s="1">
        <v>244</v>
      </c>
      <c r="B246" s="1">
        <v>0.598133</v>
      </c>
      <c r="C246" s="1">
        <v>0.614972</v>
      </c>
      <c r="D246" s="1">
        <v>0.73122</v>
      </c>
      <c r="E246" s="1">
        <v>0.746141</v>
      </c>
      <c r="F246" s="1">
        <v>0.969835</v>
      </c>
      <c r="G246" s="1">
        <v>0.977918742</v>
      </c>
      <c r="Q246" s="1" t="s">
        <v>8</v>
      </c>
    </row>
    <row r="247" spans="1:17">
      <c r="A247" s="1">
        <v>245</v>
      </c>
      <c r="B247" s="1">
        <v>0.657555</v>
      </c>
      <c r="C247" s="1">
        <v>0.670424</v>
      </c>
      <c r="D247" s="1">
        <v>0.792554</v>
      </c>
      <c r="E247" s="1">
        <v>0.801703</v>
      </c>
      <c r="F247" s="1">
        <v>0.99913</v>
      </c>
      <c r="G247" s="1">
        <v>0.999272905</v>
      </c>
      <c r="Q247" s="1" t="s">
        <v>8</v>
      </c>
    </row>
    <row r="248" spans="1:17">
      <c r="A248" s="1">
        <v>246</v>
      </c>
      <c r="B248" s="1">
        <v>0.625809</v>
      </c>
      <c r="C248" s="1">
        <v>0.637757</v>
      </c>
      <c r="D248" s="1">
        <v>0.76147</v>
      </c>
      <c r="E248" s="1">
        <v>0.771057</v>
      </c>
      <c r="F248" s="1">
        <v>0.765801</v>
      </c>
      <c r="G248" s="1">
        <v>0.778313941</v>
      </c>
      <c r="Q248" s="1" t="s">
        <v>8</v>
      </c>
    </row>
    <row r="249" spans="1:17">
      <c r="A249" s="1">
        <v>247</v>
      </c>
      <c r="B249" s="1">
        <v>0.601137</v>
      </c>
      <c r="C249" s="1">
        <v>0.623077</v>
      </c>
      <c r="D249" s="1">
        <v>0.724329</v>
      </c>
      <c r="E249" s="1">
        <v>0.742905</v>
      </c>
      <c r="F249" s="1">
        <v>0.715208</v>
      </c>
      <c r="G249" s="1">
        <v>0.735238353</v>
      </c>
      <c r="Q249" s="1" t="s">
        <v>8</v>
      </c>
    </row>
    <row r="250" spans="1:17">
      <c r="A250" s="1">
        <v>248</v>
      </c>
      <c r="B250" s="1">
        <v>0.570338</v>
      </c>
      <c r="C250" s="1">
        <v>0.592558</v>
      </c>
      <c r="D250" s="1">
        <v>0.699338</v>
      </c>
      <c r="E250" s="1">
        <v>0.720196</v>
      </c>
      <c r="F250" s="1">
        <v>0.626319</v>
      </c>
      <c r="G250" s="1">
        <v>0.64442196</v>
      </c>
      <c r="Q250" s="1" t="s">
        <v>8</v>
      </c>
    </row>
    <row r="251" spans="1:17">
      <c r="A251" s="1">
        <v>249</v>
      </c>
      <c r="B251" s="1">
        <v>0.566467</v>
      </c>
      <c r="C251" s="1">
        <v>0.606711</v>
      </c>
      <c r="D251" s="1">
        <v>0.693828</v>
      </c>
      <c r="E251" s="1">
        <v>0.730707</v>
      </c>
      <c r="F251" s="1">
        <v>0.627541</v>
      </c>
      <c r="G251" s="1">
        <v>0.66138846</v>
      </c>
      <c r="Q251" s="1" t="s">
        <v>8</v>
      </c>
    </row>
    <row r="252" spans="1:17">
      <c r="A252" s="1">
        <v>250</v>
      </c>
      <c r="B252" s="1">
        <v>0.506067</v>
      </c>
      <c r="C252" s="1">
        <v>0.542231</v>
      </c>
      <c r="D252" s="1">
        <v>0.626409</v>
      </c>
      <c r="E252" s="1">
        <v>0.66274</v>
      </c>
      <c r="F252" s="1">
        <v>0.671474</v>
      </c>
      <c r="G252" s="1">
        <v>0.695688658</v>
      </c>
      <c r="Q252" s="1" t="s">
        <v>8</v>
      </c>
    </row>
    <row r="253" spans="1:17">
      <c r="A253" s="1">
        <v>251</v>
      </c>
      <c r="B253" s="1">
        <v>0.801687</v>
      </c>
      <c r="C253" s="1">
        <v>0.900397</v>
      </c>
      <c r="D253" s="1">
        <v>0.876408</v>
      </c>
      <c r="E253" s="1">
        <v>0.933668</v>
      </c>
      <c r="F253" s="1">
        <v>0.9999999999</v>
      </c>
      <c r="G253" s="1">
        <v>0.999999999</v>
      </c>
      <c r="Q253" s="1" t="s">
        <v>8</v>
      </c>
    </row>
    <row r="254" spans="1:17">
      <c r="A254" s="1">
        <v>252</v>
      </c>
      <c r="B254" s="1">
        <v>0.611418</v>
      </c>
      <c r="C254" s="1">
        <v>0.63432</v>
      </c>
      <c r="D254" s="1">
        <v>0.747311</v>
      </c>
      <c r="E254" s="1">
        <v>0.766545</v>
      </c>
      <c r="F254" s="1">
        <v>0.817906</v>
      </c>
      <c r="G254" s="1">
        <v>0.838295404</v>
      </c>
      <c r="Q254" s="1" t="s">
        <v>8</v>
      </c>
    </row>
    <row r="255" spans="1:17">
      <c r="A255" s="1">
        <v>253</v>
      </c>
      <c r="B255" s="1">
        <v>0.559451</v>
      </c>
      <c r="C255" s="1">
        <v>0.672041</v>
      </c>
      <c r="D255" s="1">
        <v>0.697377</v>
      </c>
      <c r="E255" s="1">
        <v>0.792865</v>
      </c>
      <c r="F255" s="1">
        <v>0.96024</v>
      </c>
      <c r="G255" s="1">
        <v>0.991800917</v>
      </c>
      <c r="Q255" s="1" t="s">
        <v>8</v>
      </c>
    </row>
    <row r="256" spans="1:17">
      <c r="A256" s="1">
        <v>254</v>
      </c>
      <c r="B256" s="1">
        <v>0.639973</v>
      </c>
      <c r="C256" s="1">
        <v>0.654893</v>
      </c>
      <c r="D256" s="1">
        <v>0.768321</v>
      </c>
      <c r="E256" s="1">
        <v>0.7793</v>
      </c>
      <c r="F256" s="1">
        <v>0.87654</v>
      </c>
      <c r="G256" s="1">
        <v>0.890068835</v>
      </c>
      <c r="Q256" s="1" t="s">
        <v>8</v>
      </c>
    </row>
    <row r="257" spans="1:17">
      <c r="A257" s="1">
        <v>255</v>
      </c>
      <c r="B257" s="1">
        <v>0.618522</v>
      </c>
      <c r="C257" s="1">
        <v>0.642152</v>
      </c>
      <c r="D257" s="1">
        <v>0.759828</v>
      </c>
      <c r="E257" s="1">
        <v>0.778482</v>
      </c>
      <c r="F257" s="1">
        <v>0.783607</v>
      </c>
      <c r="G257" s="1">
        <v>0.804925484</v>
      </c>
      <c r="Q257" s="1" t="s">
        <v>8</v>
      </c>
    </row>
    <row r="258" spans="1:17">
      <c r="A258" s="1">
        <v>256</v>
      </c>
      <c r="B258" s="1">
        <v>0.575984</v>
      </c>
      <c r="C258" s="1">
        <v>0.59502</v>
      </c>
      <c r="D258" s="1">
        <v>0.705084</v>
      </c>
      <c r="E258" s="1">
        <v>0.7229</v>
      </c>
      <c r="F258" s="1">
        <v>0.738254</v>
      </c>
      <c r="G258" s="1">
        <v>0.75239998</v>
      </c>
      <c r="Q258" s="1" t="s">
        <v>8</v>
      </c>
    </row>
    <row r="259" spans="1:17">
      <c r="A259" s="1">
        <v>257</v>
      </c>
      <c r="B259" s="1">
        <v>0.572512</v>
      </c>
      <c r="C259" s="1">
        <v>0.594342</v>
      </c>
      <c r="D259" s="1">
        <v>0.698077</v>
      </c>
      <c r="E259" s="1">
        <v>0.718602</v>
      </c>
      <c r="F259" s="1">
        <v>0.808735</v>
      </c>
      <c r="G259" s="1">
        <v>0.825631285</v>
      </c>
      <c r="Q259" s="1" t="s">
        <v>8</v>
      </c>
    </row>
    <row r="260" spans="1:17">
      <c r="A260" s="1">
        <v>258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Q260" s="1" t="s">
        <v>8</v>
      </c>
    </row>
    <row r="261" spans="1:17">
      <c r="A261" s="1">
        <v>259</v>
      </c>
      <c r="B261" s="1">
        <v>0.617285</v>
      </c>
      <c r="C261" s="1">
        <v>0.633333</v>
      </c>
      <c r="D261" s="1">
        <v>0.751224</v>
      </c>
      <c r="E261" s="1">
        <v>0.764486</v>
      </c>
      <c r="F261" s="1">
        <v>0.972066</v>
      </c>
      <c r="G261" s="1">
        <v>0.977724896</v>
      </c>
      <c r="Q261" s="1" t="s">
        <v>8</v>
      </c>
    </row>
    <row r="262" spans="1:17">
      <c r="A262" s="1">
        <v>260</v>
      </c>
      <c r="B262" s="1">
        <v>0.619161</v>
      </c>
      <c r="C262" s="1">
        <v>0.635026</v>
      </c>
      <c r="D262" s="1">
        <v>0.754633</v>
      </c>
      <c r="E262" s="1">
        <v>0.767574</v>
      </c>
      <c r="F262" s="1">
        <v>0.901988</v>
      </c>
      <c r="G262" s="1">
        <v>0.917905784</v>
      </c>
      <c r="Q262" s="1" t="s">
        <v>8</v>
      </c>
    </row>
    <row r="263" spans="1:17">
      <c r="A263" s="1">
        <v>261</v>
      </c>
      <c r="B263" s="1">
        <v>0.141968</v>
      </c>
      <c r="C263" s="1">
        <v>0.158714</v>
      </c>
      <c r="D263" s="1">
        <v>0.212443</v>
      </c>
      <c r="E263" s="1">
        <v>0.229122</v>
      </c>
      <c r="F263" s="1">
        <v>0.986432</v>
      </c>
      <c r="G263" s="1">
        <v>0.989788713</v>
      </c>
      <c r="Q263" s="1" t="s">
        <v>8</v>
      </c>
    </row>
    <row r="264" spans="1:17">
      <c r="A264" s="1">
        <v>262</v>
      </c>
      <c r="B264" s="1">
        <v>0.553724</v>
      </c>
      <c r="C264" s="1">
        <v>0.611176</v>
      </c>
      <c r="D264" s="1">
        <v>0.677021</v>
      </c>
      <c r="E264" s="1">
        <v>0.730708</v>
      </c>
      <c r="F264" s="1">
        <v>0.660697</v>
      </c>
      <c r="G264" s="1">
        <v>0.701378044</v>
      </c>
      <c r="Q264" s="1" t="s">
        <v>8</v>
      </c>
    </row>
    <row r="265" spans="1:17">
      <c r="A265" s="1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Q265" s="1" t="s">
        <v>8</v>
      </c>
    </row>
    <row r="266" spans="1:17">
      <c r="A266" s="1">
        <v>264</v>
      </c>
      <c r="B266" s="1">
        <v>0.562525</v>
      </c>
      <c r="C266" s="1">
        <v>0.580828</v>
      </c>
      <c r="D266" s="1">
        <v>0.686882</v>
      </c>
      <c r="E266" s="1">
        <v>0.704126</v>
      </c>
      <c r="F266" s="1">
        <v>0.655713</v>
      </c>
      <c r="G266" s="1">
        <v>0.671897985</v>
      </c>
      <c r="Q266" s="1" t="s">
        <v>8</v>
      </c>
    </row>
    <row r="267" spans="1:17">
      <c r="A267" s="1">
        <v>265</v>
      </c>
      <c r="B267" s="1">
        <v>0.544042</v>
      </c>
      <c r="C267" s="1">
        <v>0.576609</v>
      </c>
      <c r="D267" s="1">
        <v>0.671044</v>
      </c>
      <c r="E267" s="1">
        <v>0.702861</v>
      </c>
      <c r="F267" s="1">
        <v>0.649073</v>
      </c>
      <c r="G267" s="1">
        <v>0.671339035</v>
      </c>
      <c r="Q267" s="1" t="s">
        <v>8</v>
      </c>
    </row>
    <row r="268" spans="1:17">
      <c r="A268" s="1">
        <v>266</v>
      </c>
      <c r="B268" s="1">
        <v>0.569898</v>
      </c>
      <c r="C268" s="1">
        <v>0.588899</v>
      </c>
      <c r="D268" s="1">
        <v>0.696854</v>
      </c>
      <c r="E268" s="1">
        <v>0.714826</v>
      </c>
      <c r="F268" s="1">
        <v>0.753917</v>
      </c>
      <c r="G268" s="1">
        <v>0.769319562</v>
      </c>
      <c r="Q268" s="1" t="s">
        <v>8</v>
      </c>
    </row>
    <row r="269" spans="1:17">
      <c r="A269" s="1">
        <v>267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Q269" s="1" t="s">
        <v>8</v>
      </c>
    </row>
    <row r="270" spans="1:17">
      <c r="A270" s="1">
        <v>268</v>
      </c>
      <c r="B270" s="1">
        <v>0.756761</v>
      </c>
      <c r="C270" s="1">
        <v>0.779164</v>
      </c>
      <c r="D270" s="1">
        <v>0.855406</v>
      </c>
      <c r="E270" s="1">
        <v>0.866272</v>
      </c>
      <c r="F270" s="1">
        <v>0.999305</v>
      </c>
      <c r="G270" s="1">
        <v>0.9999594715</v>
      </c>
      <c r="Q270" s="1" t="s">
        <v>8</v>
      </c>
    </row>
    <row r="271" spans="1:17">
      <c r="A271" s="1">
        <v>269</v>
      </c>
      <c r="B271" s="1">
        <v>0.553788</v>
      </c>
      <c r="C271" s="1">
        <v>0.573735</v>
      </c>
      <c r="D271" s="1">
        <v>0.681292</v>
      </c>
      <c r="E271" s="1">
        <v>0.700892</v>
      </c>
      <c r="F271" s="1">
        <v>0.978232</v>
      </c>
      <c r="G271" s="1">
        <v>0.983075206</v>
      </c>
      <c r="Q271" s="1" t="s">
        <v>8</v>
      </c>
    </row>
    <row r="272" spans="1:17">
      <c r="A272" s="1">
        <v>270</v>
      </c>
      <c r="B272" s="1">
        <v>0.590033</v>
      </c>
      <c r="C272" s="1">
        <v>0.605741</v>
      </c>
      <c r="D272" s="1">
        <v>0.718005</v>
      </c>
      <c r="E272" s="1">
        <v>0.732189</v>
      </c>
      <c r="F272" s="1">
        <v>0.699714</v>
      </c>
      <c r="G272" s="1">
        <v>0.712169125</v>
      </c>
      <c r="Q272" s="1" t="s">
        <v>8</v>
      </c>
    </row>
    <row r="273" spans="1:17">
      <c r="A273" s="1">
        <v>271</v>
      </c>
      <c r="B273" s="1">
        <v>0.553906</v>
      </c>
      <c r="C273" s="1">
        <v>0.571743</v>
      </c>
      <c r="D273" s="1">
        <v>0.674235</v>
      </c>
      <c r="E273" s="1">
        <v>0.691508</v>
      </c>
      <c r="F273" s="1">
        <v>0.602461</v>
      </c>
      <c r="G273" s="1">
        <v>0.617985858</v>
      </c>
      <c r="Q273" s="1" t="s">
        <v>8</v>
      </c>
    </row>
    <row r="274" spans="1:17">
      <c r="A274" s="1">
        <v>272</v>
      </c>
      <c r="B274" s="1">
        <v>0.496019</v>
      </c>
      <c r="C274" s="1">
        <v>0.542265</v>
      </c>
      <c r="D274" s="1">
        <v>0.617427</v>
      </c>
      <c r="E274" s="1">
        <v>0.66431</v>
      </c>
      <c r="F274" s="1">
        <v>0.552923</v>
      </c>
      <c r="G274" s="1">
        <v>0.592878155</v>
      </c>
      <c r="Q274" s="1" t="s">
        <v>8</v>
      </c>
    </row>
    <row r="275" spans="1:17">
      <c r="A275" s="1">
        <v>273</v>
      </c>
      <c r="B275" s="1">
        <v>0.550927</v>
      </c>
      <c r="C275" s="1">
        <v>0.590853</v>
      </c>
      <c r="D275" s="1">
        <v>0.675482</v>
      </c>
      <c r="E275" s="1">
        <v>0.713693</v>
      </c>
      <c r="F275" s="1">
        <v>0.600919</v>
      </c>
      <c r="G275" s="1">
        <v>0.6327887</v>
      </c>
      <c r="Q275" s="1" t="s">
        <v>8</v>
      </c>
    </row>
    <row r="276" spans="1:17">
      <c r="A276" s="1">
        <v>274</v>
      </c>
      <c r="B276" s="1">
        <v>0.484282</v>
      </c>
      <c r="C276" s="1">
        <v>0.525707</v>
      </c>
      <c r="D276" s="1">
        <v>0.601713</v>
      </c>
      <c r="E276" s="1">
        <v>0.644914</v>
      </c>
      <c r="F276" s="1">
        <v>0.517648</v>
      </c>
      <c r="G276" s="1">
        <v>0.557217313</v>
      </c>
      <c r="Q276" s="1" t="s">
        <v>8</v>
      </c>
    </row>
    <row r="277" spans="1:17">
      <c r="A277" s="1">
        <v>275</v>
      </c>
      <c r="B277" s="1">
        <v>0.533075</v>
      </c>
      <c r="C277" s="1">
        <v>0.570903</v>
      </c>
      <c r="D277" s="1">
        <v>0.657064</v>
      </c>
      <c r="E277" s="1">
        <v>0.69421</v>
      </c>
      <c r="F277" s="1">
        <v>0.624232</v>
      </c>
      <c r="G277" s="1">
        <v>0.649823291</v>
      </c>
      <c r="Q277" s="1" t="s">
        <v>8</v>
      </c>
    </row>
    <row r="278" spans="1:17">
      <c r="A278" s="1">
        <v>276</v>
      </c>
      <c r="B278" s="1">
        <v>0.382534</v>
      </c>
      <c r="C278" s="1">
        <v>0.416542</v>
      </c>
      <c r="D278" s="1">
        <v>0.474076</v>
      </c>
      <c r="E278" s="1">
        <v>0.518049</v>
      </c>
      <c r="F278" s="1">
        <v>0.585184</v>
      </c>
      <c r="G278" s="1">
        <v>0.624064602</v>
      </c>
      <c r="Q278" s="1" t="s">
        <v>8</v>
      </c>
    </row>
    <row r="279" spans="1:17">
      <c r="A279" s="1">
        <v>277</v>
      </c>
      <c r="B279" s="1">
        <v>0.490135</v>
      </c>
      <c r="C279" s="1">
        <v>0.522948</v>
      </c>
      <c r="D279" s="1">
        <v>0.609277</v>
      </c>
      <c r="E279" s="1">
        <v>0.64351</v>
      </c>
      <c r="F279" s="1">
        <v>0.57822</v>
      </c>
      <c r="G279" s="1">
        <v>0.60463023</v>
      </c>
      <c r="Q279" s="1" t="s">
        <v>8</v>
      </c>
    </row>
    <row r="280" spans="1:17">
      <c r="A280" s="1">
        <v>278</v>
      </c>
      <c r="B280" s="1">
        <v>0.562387</v>
      </c>
      <c r="C280" s="1">
        <v>0.585123</v>
      </c>
      <c r="D280" s="1">
        <v>0.684209</v>
      </c>
      <c r="E280" s="1">
        <v>0.705776</v>
      </c>
      <c r="F280" s="1">
        <v>0.629124</v>
      </c>
      <c r="G280" s="1">
        <v>0.647187985</v>
      </c>
      <c r="Q280" s="1" t="s">
        <v>8</v>
      </c>
    </row>
    <row r="281" spans="1:17">
      <c r="A281" s="1">
        <v>279</v>
      </c>
      <c r="B281" s="1">
        <v>0.509097</v>
      </c>
      <c r="C281" s="1">
        <v>0.545285</v>
      </c>
      <c r="D281" s="1">
        <v>0.627309</v>
      </c>
      <c r="E281" s="1">
        <v>0.663514</v>
      </c>
      <c r="F281" s="1">
        <v>0.618033</v>
      </c>
      <c r="G281" s="1">
        <v>0.642382183</v>
      </c>
      <c r="Q281" s="1" t="s">
        <v>8</v>
      </c>
    </row>
    <row r="282" spans="1:17">
      <c r="A282" s="1">
        <v>280</v>
      </c>
      <c r="B282" s="1">
        <v>0.551147</v>
      </c>
      <c r="C282" s="1">
        <v>0.578194</v>
      </c>
      <c r="D282" s="1">
        <v>0.670908</v>
      </c>
      <c r="E282" s="1">
        <v>0.697095</v>
      </c>
      <c r="F282" s="1">
        <v>0.65083</v>
      </c>
      <c r="G282" s="1">
        <v>0.670392524</v>
      </c>
      <c r="Q282" s="1" t="s">
        <v>8</v>
      </c>
    </row>
    <row r="283" spans="1:17">
      <c r="A283" s="1">
        <v>281</v>
      </c>
      <c r="B283" s="1">
        <v>0.556347</v>
      </c>
      <c r="C283" s="1">
        <v>0.581061</v>
      </c>
      <c r="D283" s="1">
        <v>0.68181</v>
      </c>
      <c r="E283" s="1">
        <v>0.70574</v>
      </c>
      <c r="F283" s="1">
        <v>0.645084</v>
      </c>
      <c r="G283" s="1">
        <v>0.663297464</v>
      </c>
      <c r="Q283" s="1" t="s">
        <v>8</v>
      </c>
    </row>
    <row r="284" spans="1:17">
      <c r="A284" s="1">
        <v>282</v>
      </c>
      <c r="B284" s="1">
        <v>0.570563</v>
      </c>
      <c r="C284" s="1">
        <v>0.588026</v>
      </c>
      <c r="D284" s="1">
        <v>0.694567</v>
      </c>
      <c r="E284" s="1">
        <v>0.711171</v>
      </c>
      <c r="F284" s="1">
        <v>0.662778</v>
      </c>
      <c r="G284" s="1">
        <v>0.676424068</v>
      </c>
      <c r="Q284" s="1" t="s">
        <v>8</v>
      </c>
    </row>
    <row r="285" spans="1:17">
      <c r="A285" s="1">
        <v>283</v>
      </c>
      <c r="B285" s="1">
        <v>0.4769</v>
      </c>
      <c r="C285" s="1">
        <v>0.512197</v>
      </c>
      <c r="D285" s="1">
        <v>0.59859</v>
      </c>
      <c r="E285" s="1">
        <v>0.636528</v>
      </c>
      <c r="F285" s="1">
        <v>0.799255</v>
      </c>
      <c r="G285" s="1">
        <v>0.829319839</v>
      </c>
      <c r="Q285" s="1" t="s">
        <v>8</v>
      </c>
    </row>
    <row r="286" spans="1:17">
      <c r="A286" s="1">
        <v>284</v>
      </c>
      <c r="B286" s="1">
        <v>0.498423</v>
      </c>
      <c r="C286" s="1">
        <v>0.5304</v>
      </c>
      <c r="D286" s="1">
        <v>0.622734</v>
      </c>
      <c r="E286" s="1">
        <v>0.655809</v>
      </c>
      <c r="F286" s="1">
        <v>0.565139</v>
      </c>
      <c r="G286" s="1">
        <v>0.594183731</v>
      </c>
      <c r="Q286" s="1" t="s">
        <v>8</v>
      </c>
    </row>
    <row r="287" spans="1:17">
      <c r="A287" s="1">
        <v>285</v>
      </c>
      <c r="B287" s="1">
        <v>0.266388</v>
      </c>
      <c r="C287" s="1">
        <v>0.306368</v>
      </c>
      <c r="D287" s="1">
        <v>0.344087</v>
      </c>
      <c r="E287" s="1">
        <v>0.388951</v>
      </c>
      <c r="F287" s="1">
        <v>0.382608</v>
      </c>
      <c r="G287" s="1">
        <v>0.42608938</v>
      </c>
      <c r="Q287" s="1" t="s">
        <v>8</v>
      </c>
    </row>
    <row r="288" spans="1:17">
      <c r="A288" s="1">
        <v>286</v>
      </c>
      <c r="B288" s="1">
        <v>0.559022</v>
      </c>
      <c r="C288" s="1">
        <v>0.579163</v>
      </c>
      <c r="D288" s="1">
        <v>0.687639</v>
      </c>
      <c r="E288" s="1">
        <v>0.707179</v>
      </c>
      <c r="F288" s="1">
        <v>0.769684</v>
      </c>
      <c r="G288" s="1">
        <v>0.789730133</v>
      </c>
      <c r="Q288" s="1" t="s">
        <v>8</v>
      </c>
    </row>
    <row r="289" spans="1:17">
      <c r="A289" s="1">
        <v>287</v>
      </c>
      <c r="B289" s="1">
        <v>0.499632</v>
      </c>
      <c r="C289" s="1">
        <v>0.538964</v>
      </c>
      <c r="D289" s="1">
        <v>0.618109</v>
      </c>
      <c r="E289" s="1">
        <v>0.657875</v>
      </c>
      <c r="F289" s="1">
        <v>0.599961</v>
      </c>
      <c r="G289" s="1">
        <v>0.627820197</v>
      </c>
      <c r="Q289" s="1" t="s">
        <v>8</v>
      </c>
    </row>
    <row r="290" spans="1:17">
      <c r="A290" s="1">
        <v>288</v>
      </c>
      <c r="B290" s="1">
        <v>0</v>
      </c>
      <c r="C290" s="1">
        <v>9.9999999999989e-5</v>
      </c>
      <c r="D290" s="1">
        <v>0.090684</v>
      </c>
      <c r="E290" s="1">
        <v>0.090784</v>
      </c>
      <c r="F290" s="1">
        <v>0.985481</v>
      </c>
      <c r="G290" s="1">
        <v>0.986979625</v>
      </c>
      <c r="Q290" s="1" t="s">
        <v>8</v>
      </c>
    </row>
    <row r="291" spans="1:17">
      <c r="A291" s="1">
        <v>289</v>
      </c>
      <c r="B291" s="1">
        <v>0</v>
      </c>
      <c r="C291" s="1">
        <v>0</v>
      </c>
      <c r="D291" s="1">
        <v>0.071397</v>
      </c>
      <c r="E291" s="1">
        <v>0.071397</v>
      </c>
      <c r="F291" s="1">
        <v>0.729436</v>
      </c>
      <c r="G291" s="1">
        <v>0.749041075</v>
      </c>
      <c r="Q291" s="1" t="s">
        <v>8</v>
      </c>
    </row>
    <row r="292" spans="1:17">
      <c r="A292" s="1">
        <v>290</v>
      </c>
      <c r="B292" s="1">
        <v>0.513902</v>
      </c>
      <c r="C292" s="1">
        <v>0.550295</v>
      </c>
      <c r="D292" s="1">
        <v>0.636172</v>
      </c>
      <c r="E292" s="1">
        <v>0.672397</v>
      </c>
      <c r="F292" s="1">
        <v>0.568496</v>
      </c>
      <c r="G292" s="1">
        <v>0.597448598</v>
      </c>
      <c r="Q292" s="1" t="s">
        <v>8</v>
      </c>
    </row>
    <row r="293" spans="1:17">
      <c r="A293" s="1">
        <v>291</v>
      </c>
      <c r="B293" s="1">
        <v>0.414916</v>
      </c>
      <c r="C293" s="1">
        <v>0.473269</v>
      </c>
      <c r="D293" s="1">
        <v>0.517569</v>
      </c>
      <c r="E293" s="1">
        <v>0.58687</v>
      </c>
      <c r="F293" s="1">
        <v>0.521692</v>
      </c>
      <c r="G293" s="1">
        <v>0.582056049</v>
      </c>
      <c r="Q293" s="1" t="s">
        <v>8</v>
      </c>
    </row>
    <row r="294" spans="1:17">
      <c r="A294" s="1">
        <v>292</v>
      </c>
      <c r="B294" s="1">
        <v>0.613664</v>
      </c>
      <c r="C294" s="1">
        <v>0.631846</v>
      </c>
      <c r="D294" s="1">
        <v>0.739107</v>
      </c>
      <c r="E294" s="1">
        <v>0.753957</v>
      </c>
      <c r="F294" s="1">
        <v>0.637964</v>
      </c>
      <c r="G294" s="1">
        <v>0.655604727</v>
      </c>
      <c r="Q294" s="1" t="s">
        <v>8</v>
      </c>
    </row>
    <row r="295" spans="1:17">
      <c r="A295" s="1">
        <v>293</v>
      </c>
      <c r="B295" s="1">
        <v>0.557194</v>
      </c>
      <c r="C295" s="1">
        <v>0.605242</v>
      </c>
      <c r="D295" s="1">
        <v>0.678089</v>
      </c>
      <c r="E295" s="1">
        <v>0.721607</v>
      </c>
      <c r="F295" s="1">
        <v>0.660421</v>
      </c>
      <c r="G295" s="1">
        <v>0.698162964</v>
      </c>
      <c r="Q295" s="1" t="s">
        <v>8</v>
      </c>
    </row>
    <row r="296" spans="1:17">
      <c r="A296" s="1">
        <v>294</v>
      </c>
      <c r="B296" s="1">
        <v>0.608339</v>
      </c>
      <c r="C296" s="1">
        <v>0.627723</v>
      </c>
      <c r="D296" s="1">
        <v>0.735067</v>
      </c>
      <c r="E296" s="1">
        <v>0.751423</v>
      </c>
      <c r="F296" s="1">
        <v>0.815743</v>
      </c>
      <c r="G296" s="1">
        <v>0.830740801</v>
      </c>
      <c r="Q296" s="1" t="s">
        <v>8</v>
      </c>
    </row>
    <row r="297" spans="1:17">
      <c r="A297" s="1">
        <v>295</v>
      </c>
      <c r="B297" s="1">
        <v>0.63831</v>
      </c>
      <c r="C297" s="1">
        <v>0.680632</v>
      </c>
      <c r="D297" s="1">
        <v>0.76909</v>
      </c>
      <c r="E297" s="1">
        <v>0.799461</v>
      </c>
      <c r="F297" s="1">
        <v>0.99851</v>
      </c>
      <c r="G297" s="1">
        <v>0.999788859</v>
      </c>
      <c r="Q297" s="1" t="s">
        <v>8</v>
      </c>
    </row>
    <row r="298" spans="1:17">
      <c r="A298" s="1">
        <v>296</v>
      </c>
      <c r="B298" s="1">
        <v>0.675962</v>
      </c>
      <c r="C298" s="1">
        <v>0.733964</v>
      </c>
      <c r="D298" s="1">
        <v>0.814259</v>
      </c>
      <c r="E298" s="1">
        <v>0.844247</v>
      </c>
      <c r="F298" s="1">
        <v>0.999165</v>
      </c>
      <c r="G298" s="1">
        <v>0.999726631</v>
      </c>
      <c r="Q298" s="1" t="s">
        <v>8</v>
      </c>
    </row>
    <row r="299" spans="1:17">
      <c r="A299" s="1">
        <v>297</v>
      </c>
      <c r="B299" s="1">
        <v>0.81745</v>
      </c>
      <c r="C299" s="1">
        <v>0.923268</v>
      </c>
      <c r="D299" s="1">
        <v>0.882557</v>
      </c>
      <c r="E299" s="1">
        <v>0.950362</v>
      </c>
      <c r="F299" s="1">
        <v>1.0000000003</v>
      </c>
      <c r="G299" s="1">
        <v>1.0000000004</v>
      </c>
      <c r="Q299" s="1" t="s">
        <v>8</v>
      </c>
    </row>
    <row r="300" spans="1:17">
      <c r="A300" s="1">
        <v>298</v>
      </c>
      <c r="B300" s="1">
        <v>0.493277</v>
      </c>
      <c r="C300" s="1">
        <v>0.585351</v>
      </c>
      <c r="D300" s="1">
        <v>0.606896</v>
      </c>
      <c r="E300" s="1">
        <v>0.696537</v>
      </c>
      <c r="F300" s="1">
        <v>0.684423</v>
      </c>
      <c r="G300" s="1">
        <v>0.743762276</v>
      </c>
      <c r="Q300" s="1" t="s">
        <v>8</v>
      </c>
    </row>
    <row r="301" spans="1:17">
      <c r="A301" s="1">
        <v>299</v>
      </c>
      <c r="B301" s="1">
        <v>0.691378</v>
      </c>
      <c r="C301" s="1">
        <v>0.710819</v>
      </c>
      <c r="D301" s="1">
        <v>0.822163</v>
      </c>
      <c r="E301" s="1">
        <v>0.832444</v>
      </c>
      <c r="F301" s="1">
        <v>0.847343</v>
      </c>
      <c r="G301" s="1">
        <v>0.86197381</v>
      </c>
      <c r="Q301" s="1" t="s">
        <v>8</v>
      </c>
    </row>
    <row r="302" spans="1:17">
      <c r="A302" s="1">
        <v>300</v>
      </c>
      <c r="B302" s="1">
        <v>0.436536</v>
      </c>
      <c r="C302" s="1">
        <v>0.481244</v>
      </c>
      <c r="D302" s="1">
        <v>0.54489</v>
      </c>
      <c r="E302" s="1">
        <v>0.597447</v>
      </c>
      <c r="F302" s="1">
        <v>0.489571</v>
      </c>
      <c r="G302" s="1">
        <v>0.535776726</v>
      </c>
      <c r="Q302" s="1" t="s">
        <v>8</v>
      </c>
    </row>
    <row r="303" spans="1:17">
      <c r="A303" s="1">
        <v>301</v>
      </c>
      <c r="B303" s="1">
        <v>0.557745</v>
      </c>
      <c r="C303" s="1">
        <v>0.582694</v>
      </c>
      <c r="D303" s="1">
        <v>0.680604</v>
      </c>
      <c r="E303" s="1">
        <v>0.704547</v>
      </c>
      <c r="F303" s="1">
        <v>0.619705</v>
      </c>
      <c r="G303" s="1">
        <v>0.63966668</v>
      </c>
      <c r="Q303" s="1" t="s">
        <v>8</v>
      </c>
    </row>
    <row r="304" spans="1:17">
      <c r="A304" s="1">
        <v>302</v>
      </c>
      <c r="B304" s="1">
        <v>0.564535</v>
      </c>
      <c r="C304" s="1">
        <v>0.589757</v>
      </c>
      <c r="D304" s="1">
        <v>0.685501</v>
      </c>
      <c r="E304" s="1">
        <v>0.70891</v>
      </c>
      <c r="F304" s="1">
        <v>0.624692</v>
      </c>
      <c r="G304" s="1">
        <v>0.645389908</v>
      </c>
      <c r="Q304" s="1" t="s">
        <v>8</v>
      </c>
    </row>
    <row r="305" spans="1:17">
      <c r="A305" s="1">
        <v>303</v>
      </c>
      <c r="B305" s="1">
        <v>0.619331</v>
      </c>
      <c r="C305" s="1">
        <v>0.639884</v>
      </c>
      <c r="D305" s="1">
        <v>0.743366</v>
      </c>
      <c r="E305" s="1">
        <v>0.759377</v>
      </c>
      <c r="F305" s="1">
        <v>0.656359</v>
      </c>
      <c r="G305" s="1">
        <v>0.676587344</v>
      </c>
      <c r="Q305" s="1" t="s">
        <v>8</v>
      </c>
    </row>
    <row r="306" spans="1:17">
      <c r="A306" s="1">
        <v>304</v>
      </c>
      <c r="B306" s="1">
        <v>0.544706</v>
      </c>
      <c r="C306" s="1">
        <v>0.574686</v>
      </c>
      <c r="D306" s="1">
        <v>0.666726</v>
      </c>
      <c r="E306" s="1">
        <v>0.695397</v>
      </c>
      <c r="F306" s="1">
        <v>0.626882</v>
      </c>
      <c r="G306" s="1">
        <v>0.649220603</v>
      </c>
      <c r="Q306" s="1" t="s">
        <v>8</v>
      </c>
    </row>
    <row r="307" spans="1:17">
      <c r="A307" s="1">
        <v>305</v>
      </c>
      <c r="B307" s="1">
        <v>0.585412</v>
      </c>
      <c r="C307" s="1">
        <v>0.616001</v>
      </c>
      <c r="D307" s="1">
        <v>0.709743</v>
      </c>
      <c r="E307" s="1">
        <v>0.737341</v>
      </c>
      <c r="F307" s="1">
        <v>0.695905</v>
      </c>
      <c r="G307" s="1">
        <v>0.720896494</v>
      </c>
      <c r="Q307" s="1" t="s">
        <v>8</v>
      </c>
    </row>
    <row r="308" spans="1:17">
      <c r="A308" s="1">
        <v>306</v>
      </c>
      <c r="B308" s="1">
        <v>0</v>
      </c>
      <c r="C308" s="1">
        <v>0</v>
      </c>
      <c r="D308" s="1">
        <v>0.0666330000000001</v>
      </c>
      <c r="E308" s="1">
        <v>0.0666330000000001</v>
      </c>
      <c r="F308" s="1">
        <v>0.543831</v>
      </c>
      <c r="G308" s="1">
        <v>0.559778267</v>
      </c>
      <c r="Q308" s="1" t="s">
        <v>8</v>
      </c>
    </row>
    <row r="309" spans="1:17">
      <c r="A309" s="1">
        <v>307</v>
      </c>
      <c r="B309" s="1">
        <v>0.582206</v>
      </c>
      <c r="C309" s="1">
        <v>0.601564</v>
      </c>
      <c r="D309" s="1">
        <v>0.707321</v>
      </c>
      <c r="E309" s="1">
        <v>0.724926</v>
      </c>
      <c r="F309" s="1">
        <v>0.635096</v>
      </c>
      <c r="G309" s="1">
        <v>0.65105174</v>
      </c>
      <c r="Q309" s="1" t="s">
        <v>8</v>
      </c>
    </row>
    <row r="310" spans="1:17">
      <c r="A310" s="1">
        <v>308</v>
      </c>
      <c r="B310" s="1">
        <v>0.589451</v>
      </c>
      <c r="C310" s="1">
        <v>0.609579</v>
      </c>
      <c r="D310" s="1">
        <v>0.716918</v>
      </c>
      <c r="E310" s="1">
        <v>0.734602</v>
      </c>
      <c r="F310" s="1">
        <v>0.680867</v>
      </c>
      <c r="G310" s="1">
        <v>0.69820079</v>
      </c>
      <c r="Q310" s="1" t="s">
        <v>8</v>
      </c>
    </row>
    <row r="311" spans="1:17">
      <c r="A311" s="1">
        <v>309</v>
      </c>
      <c r="B311" s="1">
        <v>0.556549</v>
      </c>
      <c r="C311" s="1">
        <v>0.595522</v>
      </c>
      <c r="D311" s="1">
        <v>0.68221</v>
      </c>
      <c r="E311" s="1">
        <v>0.718773</v>
      </c>
      <c r="F311" s="1">
        <v>0.670614</v>
      </c>
      <c r="G311" s="1">
        <v>0.698852153</v>
      </c>
      <c r="Q311" s="1" t="s">
        <v>8</v>
      </c>
    </row>
    <row r="312" spans="1:17">
      <c r="A312" s="1">
        <v>310</v>
      </c>
      <c r="B312" s="1">
        <v>0.571502</v>
      </c>
      <c r="C312" s="1">
        <v>0.59798</v>
      </c>
      <c r="D312" s="1">
        <v>0.698542</v>
      </c>
      <c r="E312" s="1">
        <v>0.723198</v>
      </c>
      <c r="F312" s="1">
        <v>0.609113</v>
      </c>
      <c r="G312" s="1">
        <v>0.631853885</v>
      </c>
      <c r="Q312" s="1" t="s">
        <v>8</v>
      </c>
    </row>
    <row r="313" spans="1:17">
      <c r="A313" s="1">
        <v>311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Q313" s="1" t="s">
        <v>8</v>
      </c>
    </row>
    <row r="314" spans="1:17">
      <c r="A314" s="1">
        <v>312</v>
      </c>
      <c r="B314" s="1">
        <v>0.519329</v>
      </c>
      <c r="C314" s="1">
        <v>0.562328</v>
      </c>
      <c r="D314" s="1">
        <v>0.640749</v>
      </c>
      <c r="E314" s="1">
        <v>0.683056</v>
      </c>
      <c r="F314" s="1">
        <v>0.59157</v>
      </c>
      <c r="G314" s="1">
        <v>0.622854425</v>
      </c>
      <c r="Q314" s="1" t="s">
        <v>8</v>
      </c>
    </row>
    <row r="315" spans="1:17">
      <c r="A315" s="1">
        <v>313</v>
      </c>
      <c r="B315" s="1">
        <v>0.434593</v>
      </c>
      <c r="C315" s="1">
        <v>0.472728</v>
      </c>
      <c r="D315" s="1">
        <v>0.540324</v>
      </c>
      <c r="E315" s="1">
        <v>0.585581</v>
      </c>
      <c r="F315" s="1">
        <v>0.735442</v>
      </c>
      <c r="G315" s="1">
        <v>0.769837145</v>
      </c>
      <c r="Q315" s="1" t="s">
        <v>8</v>
      </c>
    </row>
    <row r="316" spans="1:17">
      <c r="A316" s="1">
        <v>314</v>
      </c>
      <c r="B316" s="1">
        <v>0.22179</v>
      </c>
      <c r="C316" s="1">
        <v>0.346685</v>
      </c>
      <c r="D316" s="1">
        <v>0.285232</v>
      </c>
      <c r="E316" s="1">
        <v>0.423571</v>
      </c>
      <c r="F316" s="1">
        <v>0.988993</v>
      </c>
      <c r="G316" s="1">
        <v>0.993558112</v>
      </c>
      <c r="Q316" s="1" t="s">
        <v>8</v>
      </c>
    </row>
    <row r="317" spans="1:17">
      <c r="A317" s="1">
        <v>315</v>
      </c>
      <c r="B317" s="1">
        <v>0.544647</v>
      </c>
      <c r="C317" s="1">
        <v>0.570021</v>
      </c>
      <c r="D317" s="1">
        <v>0.670148</v>
      </c>
      <c r="E317" s="1">
        <v>0.69506</v>
      </c>
      <c r="F317" s="1">
        <v>0.628454</v>
      </c>
      <c r="G317" s="1">
        <v>0.646680416</v>
      </c>
      <c r="Q317" s="1" t="s">
        <v>8</v>
      </c>
    </row>
    <row r="318" spans="1:17">
      <c r="A318" s="1">
        <v>316</v>
      </c>
      <c r="B318" s="1">
        <v>0.631553</v>
      </c>
      <c r="C318" s="1">
        <v>0.656753</v>
      </c>
      <c r="D318" s="1">
        <v>0.76003</v>
      </c>
      <c r="E318" s="1">
        <v>0.778988</v>
      </c>
      <c r="F318" s="1">
        <v>0.664058</v>
      </c>
      <c r="G318" s="1">
        <v>0.688461403</v>
      </c>
      <c r="Q318" s="1" t="s">
        <v>8</v>
      </c>
    </row>
    <row r="319" spans="1:17">
      <c r="A319" s="1">
        <v>317</v>
      </c>
      <c r="B319" s="1">
        <v>0.619753</v>
      </c>
      <c r="C319" s="1">
        <v>0.638023</v>
      </c>
      <c r="D319" s="1">
        <v>0.752339</v>
      </c>
      <c r="E319" s="1">
        <v>0.766927</v>
      </c>
      <c r="F319" s="1">
        <v>0.808671</v>
      </c>
      <c r="G319" s="1">
        <v>0.826498543</v>
      </c>
      <c r="Q319" s="1" t="s">
        <v>8</v>
      </c>
    </row>
    <row r="320" spans="1:17">
      <c r="A320" s="1">
        <v>318</v>
      </c>
      <c r="B320" s="1">
        <v>0.087406</v>
      </c>
      <c r="C320" s="1">
        <v>0.127291</v>
      </c>
      <c r="D320" s="1">
        <v>0.16216</v>
      </c>
      <c r="E320" s="1">
        <v>0.201654</v>
      </c>
      <c r="F320" s="1">
        <v>0.635107</v>
      </c>
      <c r="G320" s="1">
        <v>0.670456587</v>
      </c>
      <c r="Q320" s="1" t="s">
        <v>8</v>
      </c>
    </row>
    <row r="321" spans="1:17">
      <c r="A321" s="1">
        <v>319</v>
      </c>
      <c r="B321" s="1">
        <v>0.613943</v>
      </c>
      <c r="C321" s="1">
        <v>0.639975</v>
      </c>
      <c r="D321" s="1">
        <v>0.740688</v>
      </c>
      <c r="E321" s="1">
        <v>0.761632</v>
      </c>
      <c r="F321" s="1">
        <v>0.733756</v>
      </c>
      <c r="G321" s="1">
        <v>0.756832352</v>
      </c>
      <c r="Q321" s="1" t="s">
        <v>8</v>
      </c>
    </row>
    <row r="322" spans="1:17">
      <c r="A322" s="1">
        <v>320</v>
      </c>
      <c r="B322" s="1">
        <v>0.47653</v>
      </c>
      <c r="C322" s="1">
        <v>0.52565</v>
      </c>
      <c r="D322" s="1">
        <v>0.594127</v>
      </c>
      <c r="E322" s="1">
        <v>0.645581</v>
      </c>
      <c r="F322" s="1">
        <v>0.59166</v>
      </c>
      <c r="G322" s="1">
        <v>0.630518343</v>
      </c>
      <c r="Q322" s="1" t="s">
        <v>8</v>
      </c>
    </row>
    <row r="323" spans="1:17">
      <c r="A323" s="1">
        <v>321</v>
      </c>
      <c r="B323" s="1">
        <v>0.511416</v>
      </c>
      <c r="C323" s="1">
        <v>0.53157</v>
      </c>
      <c r="D323" s="1">
        <v>0.652446</v>
      </c>
      <c r="E323" s="1">
        <v>0.673325</v>
      </c>
      <c r="F323" s="1">
        <v>0.969793</v>
      </c>
      <c r="G323" s="1">
        <v>0.983691285</v>
      </c>
      <c r="Q323" s="1" t="s">
        <v>8</v>
      </c>
    </row>
    <row r="324" spans="1:17">
      <c r="A324" s="1">
        <v>322</v>
      </c>
      <c r="B324" s="1">
        <v>0.599331</v>
      </c>
      <c r="C324" s="1">
        <v>0.616638</v>
      </c>
      <c r="D324" s="1">
        <v>0.733993</v>
      </c>
      <c r="E324" s="1">
        <v>0.749297</v>
      </c>
      <c r="F324" s="1">
        <v>0.74683</v>
      </c>
      <c r="G324" s="1">
        <v>0.76234323</v>
      </c>
      <c r="Q324" s="1" t="s">
        <v>8</v>
      </c>
    </row>
    <row r="325" spans="1:17">
      <c r="A325" s="1">
        <v>323</v>
      </c>
      <c r="B325" s="1">
        <v>0.624391</v>
      </c>
      <c r="C325" s="1">
        <v>0.637301</v>
      </c>
      <c r="D325" s="1">
        <v>0.768126</v>
      </c>
      <c r="E325" s="1">
        <v>0.778602</v>
      </c>
      <c r="F325" s="1">
        <v>0.9999189</v>
      </c>
      <c r="G325" s="1">
        <v>1.0000000018</v>
      </c>
      <c r="Q325" s="1" t="s">
        <v>8</v>
      </c>
    </row>
    <row r="326" spans="1:17">
      <c r="A326" s="1">
        <v>324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Q326" s="1" t="s">
        <v>17</v>
      </c>
    </row>
    <row r="327" spans="1:17">
      <c r="A327" s="1">
        <v>325</v>
      </c>
      <c r="B327" s="1">
        <v>0.680387</v>
      </c>
      <c r="C327" s="1">
        <v>0.81363</v>
      </c>
      <c r="D327" s="1">
        <v>0.798063</v>
      </c>
      <c r="E327" s="1">
        <v>0.865119</v>
      </c>
      <c r="F327" s="1">
        <v>0.99999631</v>
      </c>
      <c r="G327" s="1">
        <v>1.0000000006</v>
      </c>
      <c r="Q327" s="1" t="s">
        <v>17</v>
      </c>
    </row>
    <row r="328" spans="1:17">
      <c r="A328" s="1">
        <v>326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Q328" s="1" t="s">
        <v>17</v>
      </c>
    </row>
    <row r="329" spans="1:17">
      <c r="A329" s="1">
        <v>327</v>
      </c>
      <c r="B329" s="1">
        <v>0.559057</v>
      </c>
      <c r="C329" s="1">
        <v>0.587964</v>
      </c>
      <c r="D329" s="1">
        <v>0.679034</v>
      </c>
      <c r="E329" s="1">
        <v>0.705153</v>
      </c>
      <c r="F329" s="1">
        <v>0.84458</v>
      </c>
      <c r="G329" s="1">
        <v>0.866155946</v>
      </c>
      <c r="Q329" s="1" t="s">
        <v>17</v>
      </c>
    </row>
    <row r="330" spans="1:17">
      <c r="A330" s="1">
        <v>328</v>
      </c>
      <c r="B330" s="1">
        <v>0.596159</v>
      </c>
      <c r="C330" s="1">
        <v>0.616329</v>
      </c>
      <c r="D330" s="1">
        <v>0.720602</v>
      </c>
      <c r="E330" s="1">
        <v>0.738383</v>
      </c>
      <c r="F330" s="1">
        <v>0.767586</v>
      </c>
      <c r="G330" s="1">
        <v>0.785427912</v>
      </c>
      <c r="Q330" s="1" t="s">
        <v>17</v>
      </c>
    </row>
    <row r="331" spans="1:17">
      <c r="A331" s="1">
        <v>329</v>
      </c>
      <c r="B331" s="1">
        <v>0.643379</v>
      </c>
      <c r="C331" s="1">
        <v>0.655531</v>
      </c>
      <c r="D331" s="1">
        <v>0.77776</v>
      </c>
      <c r="E331" s="1">
        <v>0.786719</v>
      </c>
      <c r="F331" s="1">
        <v>0.99886</v>
      </c>
      <c r="G331" s="1">
        <v>0.999332491</v>
      </c>
      <c r="Q331" s="1" t="s">
        <v>17</v>
      </c>
    </row>
    <row r="332" spans="1:17">
      <c r="A332" s="1">
        <v>330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Q332" s="1" t="s">
        <v>17</v>
      </c>
    </row>
    <row r="333" spans="1:17">
      <c r="A333" s="1">
        <v>331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Q333" s="1" t="s">
        <v>17</v>
      </c>
    </row>
    <row r="334" spans="1:17">
      <c r="A334" s="1">
        <v>332</v>
      </c>
      <c r="B334" s="1">
        <v>0.605862</v>
      </c>
      <c r="C334" s="1">
        <v>0.626051</v>
      </c>
      <c r="D334" s="1">
        <v>0.745224</v>
      </c>
      <c r="E334" s="1">
        <v>0.762675</v>
      </c>
      <c r="F334" s="1">
        <v>0.724083</v>
      </c>
      <c r="G334" s="1">
        <v>0.741729978</v>
      </c>
      <c r="Q334" s="1" t="s">
        <v>17</v>
      </c>
    </row>
    <row r="335" spans="1:17">
      <c r="A335" s="1">
        <v>333</v>
      </c>
      <c r="B335" s="1">
        <v>0.598444</v>
      </c>
      <c r="C335" s="1">
        <v>0.612083</v>
      </c>
      <c r="D335" s="1">
        <v>0.731801</v>
      </c>
      <c r="E335" s="1">
        <v>0.743943</v>
      </c>
      <c r="F335" s="1">
        <v>0.903455</v>
      </c>
      <c r="G335" s="1">
        <v>0.916040935</v>
      </c>
      <c r="Q335" s="1" t="s">
        <v>17</v>
      </c>
    </row>
    <row r="336" spans="1:17">
      <c r="A336" s="1">
        <v>334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Q336" s="1" t="s">
        <v>17</v>
      </c>
    </row>
    <row r="337" spans="1:17">
      <c r="A337" s="1">
        <v>335</v>
      </c>
      <c r="B337" s="1">
        <v>0.605854</v>
      </c>
      <c r="C337" s="1">
        <v>0.626191</v>
      </c>
      <c r="D337" s="1">
        <v>0.73015</v>
      </c>
      <c r="E337" s="1">
        <v>0.746994</v>
      </c>
      <c r="F337" s="1">
        <v>0.752315</v>
      </c>
      <c r="G337" s="1">
        <v>0.771506919</v>
      </c>
      <c r="Q337" s="1" t="s">
        <v>17</v>
      </c>
    </row>
    <row r="338" spans="1:17">
      <c r="A338" s="1">
        <v>336</v>
      </c>
      <c r="B338" s="1">
        <v>0.576871</v>
      </c>
      <c r="C338" s="1">
        <v>0.60348</v>
      </c>
      <c r="D338" s="1">
        <v>0.700771</v>
      </c>
      <c r="E338" s="1">
        <v>0.724834</v>
      </c>
      <c r="F338" s="1">
        <v>0.661453</v>
      </c>
      <c r="G338" s="1">
        <v>0.683059324</v>
      </c>
      <c r="Q338" s="1" t="s">
        <v>17</v>
      </c>
    </row>
    <row r="339" spans="1:17">
      <c r="A339" s="1">
        <v>337</v>
      </c>
      <c r="B339" s="1">
        <v>0.591625</v>
      </c>
      <c r="C339" s="1">
        <v>0.606281</v>
      </c>
      <c r="D339" s="1">
        <v>0.715228</v>
      </c>
      <c r="E339" s="1">
        <v>0.728079</v>
      </c>
      <c r="F339" s="1">
        <v>0.678305</v>
      </c>
      <c r="G339" s="1">
        <v>0.691081131</v>
      </c>
      <c r="Q339" s="1" t="s">
        <v>17</v>
      </c>
    </row>
    <row r="340" spans="1:17">
      <c r="A340" s="1">
        <v>338</v>
      </c>
      <c r="B340" s="1">
        <v>0.60047</v>
      </c>
      <c r="C340" s="1">
        <v>0.613894</v>
      </c>
      <c r="D340" s="1">
        <v>0.725829</v>
      </c>
      <c r="E340" s="1">
        <v>0.737369</v>
      </c>
      <c r="F340" s="1">
        <v>0.668703</v>
      </c>
      <c r="G340" s="1">
        <v>0.680840156</v>
      </c>
      <c r="Q340" s="1" t="s">
        <v>17</v>
      </c>
    </row>
    <row r="341" spans="1:17">
      <c r="A341" s="1">
        <v>339</v>
      </c>
      <c r="B341" s="1">
        <v>0.52789</v>
      </c>
      <c r="C341" s="1">
        <v>0.565056</v>
      </c>
      <c r="D341" s="1">
        <v>0.649477</v>
      </c>
      <c r="E341" s="1">
        <v>0.685697</v>
      </c>
      <c r="F341" s="1">
        <v>0.59029</v>
      </c>
      <c r="G341" s="1">
        <v>0.618115245</v>
      </c>
      <c r="Q341" s="1" t="s">
        <v>17</v>
      </c>
    </row>
    <row r="342" spans="1:17">
      <c r="A342" s="1">
        <v>340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Q342" s="1" t="s">
        <v>17</v>
      </c>
    </row>
    <row r="343" spans="1:17">
      <c r="A343" s="1">
        <v>341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Q343" s="1" t="s">
        <v>17</v>
      </c>
    </row>
    <row r="344" spans="1:17">
      <c r="A344" s="1">
        <v>342</v>
      </c>
      <c r="B344" s="1">
        <v>0.578191</v>
      </c>
      <c r="C344" s="1">
        <v>0.605129</v>
      </c>
      <c r="D344" s="1">
        <v>0.714404</v>
      </c>
      <c r="E344" s="1">
        <v>0.739317</v>
      </c>
      <c r="F344" s="1">
        <v>0.933845</v>
      </c>
      <c r="G344" s="1">
        <v>0.950284232</v>
      </c>
      <c r="Q344" s="1" t="s">
        <v>17</v>
      </c>
    </row>
    <row r="345" spans="1:17">
      <c r="A345" s="1">
        <v>343</v>
      </c>
      <c r="B345" s="1">
        <v>0.00727900000000004</v>
      </c>
      <c r="C345" s="1">
        <v>0.0364370000000001</v>
      </c>
      <c r="D345" s="1">
        <v>0.088072</v>
      </c>
      <c r="E345" s="1">
        <v>0.116945</v>
      </c>
      <c r="F345" s="1">
        <v>0.990178</v>
      </c>
      <c r="G345" s="1">
        <v>0.99392109</v>
      </c>
      <c r="Q345" s="1" t="s">
        <v>17</v>
      </c>
    </row>
    <row r="346" spans="1:17">
      <c r="A346" s="1">
        <v>344</v>
      </c>
      <c r="B346" s="1">
        <v>0.36507</v>
      </c>
      <c r="C346" s="1">
        <v>0.767998</v>
      </c>
      <c r="D346" s="1">
        <v>0.482079</v>
      </c>
      <c r="E346" s="1">
        <v>0.860947</v>
      </c>
      <c r="F346" s="1">
        <v>0.98794</v>
      </c>
      <c r="G346" s="1">
        <v>0.9999999967</v>
      </c>
      <c r="Q346" s="1" t="s">
        <v>17</v>
      </c>
    </row>
    <row r="347" spans="1:17">
      <c r="A347" s="1">
        <v>345</v>
      </c>
      <c r="B347" s="1">
        <v>0.613923</v>
      </c>
      <c r="C347" s="1">
        <v>0.623825</v>
      </c>
      <c r="D347" s="1">
        <v>0.749239</v>
      </c>
      <c r="E347" s="1">
        <v>0.757359</v>
      </c>
      <c r="F347" s="1">
        <v>0.886805</v>
      </c>
      <c r="G347" s="1">
        <v>0.896669438</v>
      </c>
      <c r="Q347" s="1" t="s">
        <v>17</v>
      </c>
    </row>
    <row r="348" spans="1:17">
      <c r="A348" s="1">
        <v>346</v>
      </c>
      <c r="B348" s="1">
        <v>0.597131</v>
      </c>
      <c r="C348" s="1">
        <v>0.611882</v>
      </c>
      <c r="D348" s="1">
        <v>0.723485</v>
      </c>
      <c r="E348" s="1">
        <v>0.736331</v>
      </c>
      <c r="F348" s="1">
        <v>0.722114</v>
      </c>
      <c r="G348" s="1">
        <v>0.736137276</v>
      </c>
      <c r="Q348" s="1" t="s">
        <v>17</v>
      </c>
    </row>
    <row r="349" spans="1:17">
      <c r="A349" s="1">
        <v>347</v>
      </c>
      <c r="B349" s="1">
        <v>0.778391</v>
      </c>
      <c r="C349" s="1">
        <v>0.845172</v>
      </c>
      <c r="D349" s="1">
        <v>0.865905</v>
      </c>
      <c r="E349" s="1">
        <v>0.893808</v>
      </c>
      <c r="F349" s="1">
        <v>1.0000000015</v>
      </c>
      <c r="G349" s="1">
        <v>0.9999999992</v>
      </c>
      <c r="Q349" s="1" t="s">
        <v>17</v>
      </c>
    </row>
    <row r="350" spans="1:17">
      <c r="A350" s="1">
        <v>348</v>
      </c>
      <c r="B350" s="1">
        <v>0.633143</v>
      </c>
      <c r="C350" s="1">
        <v>0.733815</v>
      </c>
      <c r="D350" s="1">
        <v>0.76015</v>
      </c>
      <c r="E350" s="1">
        <v>0.823592</v>
      </c>
      <c r="F350" s="1">
        <v>0.998305</v>
      </c>
      <c r="G350" s="1">
        <v>0.9999999993</v>
      </c>
      <c r="Q350" s="1" t="s">
        <v>17</v>
      </c>
    </row>
    <row r="351" spans="1:17">
      <c r="A351" s="1">
        <v>349</v>
      </c>
      <c r="B351" s="1">
        <v>0.605796</v>
      </c>
      <c r="C351" s="1">
        <v>0.706206</v>
      </c>
      <c r="D351" s="1">
        <v>0.724115</v>
      </c>
      <c r="E351" s="1">
        <v>0.796171</v>
      </c>
      <c r="F351" s="1">
        <v>0.973384</v>
      </c>
      <c r="G351" s="1">
        <v>0.993707615</v>
      </c>
      <c r="Q351" s="1" t="s">
        <v>17</v>
      </c>
    </row>
    <row r="352" spans="1:17">
      <c r="A352" s="1">
        <v>350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Q352" s="1" t="s">
        <v>17</v>
      </c>
    </row>
    <row r="353" spans="1:17">
      <c r="A353" s="1">
        <v>351</v>
      </c>
      <c r="B353" s="1">
        <v>0.675041</v>
      </c>
      <c r="C353" s="1">
        <v>0.719736</v>
      </c>
      <c r="D353" s="1">
        <v>0.813957</v>
      </c>
      <c r="E353" s="1">
        <v>0.837941</v>
      </c>
      <c r="F353" s="1">
        <v>0.997046</v>
      </c>
      <c r="G353" s="1">
        <v>0.998544429</v>
      </c>
      <c r="Q353" s="1" t="s">
        <v>17</v>
      </c>
    </row>
    <row r="354" spans="1:17">
      <c r="A354" s="1">
        <v>352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Q354" s="1" t="s">
        <v>17</v>
      </c>
    </row>
    <row r="355" spans="1:17">
      <c r="A355" s="1">
        <v>353</v>
      </c>
      <c r="B355" s="1">
        <v>0.778024</v>
      </c>
      <c r="C355" s="1">
        <v>0.803933</v>
      </c>
      <c r="D355" s="1">
        <v>0.862972</v>
      </c>
      <c r="E355" s="1">
        <v>0.874536</v>
      </c>
      <c r="F355" s="1">
        <v>1.0000000007</v>
      </c>
      <c r="G355" s="1">
        <v>0.9999999993</v>
      </c>
      <c r="Q355" s="1" t="s">
        <v>17</v>
      </c>
    </row>
    <row r="356" spans="1:17">
      <c r="A356" s="1">
        <v>354</v>
      </c>
      <c r="B356" s="1">
        <v>0.696942</v>
      </c>
      <c r="C356" s="1">
        <v>0.72937</v>
      </c>
      <c r="D356" s="1">
        <v>0.82621</v>
      </c>
      <c r="E356" s="1">
        <v>0.842483</v>
      </c>
      <c r="F356" s="1">
        <v>0.99999403</v>
      </c>
      <c r="G356" s="1">
        <v>0.9999999994</v>
      </c>
      <c r="Q356" s="1" t="s">
        <v>17</v>
      </c>
    </row>
    <row r="357" spans="1:17">
      <c r="A357" s="1">
        <v>355</v>
      </c>
      <c r="B357" s="1">
        <v>0.78623</v>
      </c>
      <c r="C357" s="1">
        <v>0.812441</v>
      </c>
      <c r="D357" s="1">
        <v>0.866716</v>
      </c>
      <c r="E357" s="1">
        <v>0.877724</v>
      </c>
      <c r="F357" s="1">
        <v>0.9999999995</v>
      </c>
      <c r="G357" s="1">
        <v>0.9999999999</v>
      </c>
      <c r="Q357" s="1" t="s">
        <v>17</v>
      </c>
    </row>
    <row r="358" spans="1:17">
      <c r="A358" s="1">
        <v>356</v>
      </c>
      <c r="B358" s="1">
        <v>0.690977</v>
      </c>
      <c r="C358" s="1">
        <v>0.806704</v>
      </c>
      <c r="D358" s="1">
        <v>0.808723</v>
      </c>
      <c r="E358" s="1">
        <v>0.865571</v>
      </c>
      <c r="F358" s="1">
        <v>0.999282</v>
      </c>
      <c r="G358" s="1">
        <v>0.9999999998</v>
      </c>
      <c r="Q358" s="1" t="s">
        <v>17</v>
      </c>
    </row>
    <row r="359" spans="1:17">
      <c r="A359" s="1">
        <v>357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Q359" s="1" t="s">
        <v>17</v>
      </c>
    </row>
    <row r="360" spans="1:17">
      <c r="A360" s="1">
        <v>358</v>
      </c>
      <c r="B360" s="1">
        <v>0.646644</v>
      </c>
      <c r="C360" s="1">
        <v>0.678927</v>
      </c>
      <c r="D360" s="1">
        <v>0.772963</v>
      </c>
      <c r="E360" s="1">
        <v>0.795716</v>
      </c>
      <c r="F360" s="1">
        <v>0.986567</v>
      </c>
      <c r="G360" s="1">
        <v>0.992544404</v>
      </c>
      <c r="Q360" s="1" t="s">
        <v>17</v>
      </c>
    </row>
    <row r="361" spans="1:17">
      <c r="A361" s="1">
        <v>359</v>
      </c>
      <c r="B361" s="1">
        <v>0.799842</v>
      </c>
      <c r="C361" s="1">
        <v>0.90612</v>
      </c>
      <c r="D361" s="1">
        <v>0.875627</v>
      </c>
      <c r="E361" s="1">
        <v>0.938038</v>
      </c>
      <c r="F361" s="1">
        <v>1.0000000002</v>
      </c>
      <c r="G361" s="1">
        <v>0.9999999992</v>
      </c>
      <c r="Q361" s="1" t="s">
        <v>17</v>
      </c>
    </row>
    <row r="362" spans="1:17">
      <c r="A362" s="1">
        <v>360</v>
      </c>
      <c r="B362" s="1">
        <v>0.78785</v>
      </c>
      <c r="C362" s="1">
        <v>0.907463</v>
      </c>
      <c r="D362" s="1">
        <v>0.870264</v>
      </c>
      <c r="E362" s="1">
        <v>0.939053</v>
      </c>
      <c r="F362" s="1">
        <v>0.999573</v>
      </c>
      <c r="G362" s="1">
        <v>1.0000000002</v>
      </c>
      <c r="Q362" s="1" t="s">
        <v>17</v>
      </c>
    </row>
    <row r="363" spans="1:17">
      <c r="A363" s="1">
        <v>361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Q363" s="1" t="s">
        <v>17</v>
      </c>
    </row>
    <row r="364" spans="1:17">
      <c r="A364" s="1">
        <v>362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Q364" s="1" t="s">
        <v>17</v>
      </c>
    </row>
    <row r="365" spans="1:17">
      <c r="A365" s="1">
        <v>363</v>
      </c>
      <c r="B365" s="1">
        <v>0.7389</v>
      </c>
      <c r="C365" s="1">
        <v>0.769317</v>
      </c>
      <c r="D365" s="1">
        <v>0.83166</v>
      </c>
      <c r="E365" s="1">
        <v>0.847423</v>
      </c>
      <c r="F365" s="1">
        <v>0.997109</v>
      </c>
      <c r="G365" s="1">
        <v>0.998540637</v>
      </c>
      <c r="Q365" s="1" t="s">
        <v>17</v>
      </c>
    </row>
    <row r="366" spans="1:17">
      <c r="A366" s="1">
        <v>364</v>
      </c>
      <c r="B366" s="1">
        <v>0.65822</v>
      </c>
      <c r="C366" s="1">
        <v>0.715787</v>
      </c>
      <c r="D366" s="1">
        <v>0.781443</v>
      </c>
      <c r="E366" s="1">
        <v>0.816855</v>
      </c>
      <c r="F366" s="1">
        <v>0.9999999993</v>
      </c>
      <c r="G366" s="1">
        <v>0.9999999999</v>
      </c>
      <c r="Q366" s="1" t="s">
        <v>17</v>
      </c>
    </row>
    <row r="367" spans="1:17">
      <c r="A367" s="1">
        <v>365</v>
      </c>
      <c r="B367" s="1">
        <v>0.897779</v>
      </c>
      <c r="C367" s="1">
        <v>0.973939</v>
      </c>
      <c r="D367" s="1">
        <v>0.931607</v>
      </c>
      <c r="E367" s="1">
        <v>0.980019</v>
      </c>
      <c r="F367" s="1">
        <v>0.999819</v>
      </c>
      <c r="G367" s="1">
        <v>1.0000000001</v>
      </c>
      <c r="Q367" s="1" t="s">
        <v>17</v>
      </c>
    </row>
    <row r="368" spans="1:17">
      <c r="A368" s="1">
        <v>366</v>
      </c>
      <c r="B368" s="1">
        <v>0.802634</v>
      </c>
      <c r="C368" s="1">
        <v>0.883258</v>
      </c>
      <c r="D368" s="1">
        <v>0.876805</v>
      </c>
      <c r="E368" s="1">
        <v>0.919648</v>
      </c>
      <c r="F368" s="1">
        <v>1.0000000007</v>
      </c>
      <c r="G368" s="1">
        <v>1.0000000003</v>
      </c>
      <c r="Q368" s="1" t="s">
        <v>17</v>
      </c>
    </row>
    <row r="369" spans="1:17">
      <c r="A369" s="1">
        <v>367</v>
      </c>
      <c r="B369" s="1">
        <v>0.039756</v>
      </c>
      <c r="C369" s="1">
        <v>0.636627</v>
      </c>
      <c r="D369" s="1">
        <v>0.107672</v>
      </c>
      <c r="E369" s="1">
        <v>0.741475</v>
      </c>
      <c r="F369" s="1">
        <v>0.811159</v>
      </c>
      <c r="G369" s="1">
        <v>0.981253983</v>
      </c>
      <c r="Q369" s="1" t="s">
        <v>17</v>
      </c>
    </row>
    <row r="370" spans="1:17">
      <c r="A370" s="1">
        <v>368</v>
      </c>
      <c r="B370" s="1">
        <v>0.719077</v>
      </c>
      <c r="C370" s="1">
        <v>0.760708</v>
      </c>
      <c r="D370" s="1">
        <v>0.835945</v>
      </c>
      <c r="E370" s="1">
        <v>0.855888</v>
      </c>
      <c r="F370" s="1">
        <v>0.996864</v>
      </c>
      <c r="G370" s="1">
        <v>0.998924008</v>
      </c>
      <c r="Q370" s="1" t="s">
        <v>17</v>
      </c>
    </row>
    <row r="371" spans="1:17">
      <c r="A371" s="1">
        <v>369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Q371" s="1" t="s">
        <v>17</v>
      </c>
    </row>
    <row r="372" spans="1:17">
      <c r="A372" s="1">
        <v>370</v>
      </c>
      <c r="B372" s="1">
        <v>0</v>
      </c>
      <c r="C372" s="1">
        <v>0.221696</v>
      </c>
      <c r="D372" s="1">
        <v>0.081588</v>
      </c>
      <c r="E372" s="1">
        <v>0.30413</v>
      </c>
      <c r="F372" s="1">
        <v>0.997687</v>
      </c>
      <c r="G372" s="1">
        <v>0.998866902</v>
      </c>
      <c r="Q372" s="1" t="s">
        <v>17</v>
      </c>
    </row>
    <row r="373" spans="1:17">
      <c r="A373" s="1">
        <v>371</v>
      </c>
      <c r="B373" s="1">
        <v>0</v>
      </c>
      <c r="C373" s="1">
        <v>0</v>
      </c>
      <c r="D373" s="1">
        <v>0.085696</v>
      </c>
      <c r="E373" s="1">
        <v>0.085696</v>
      </c>
      <c r="F373" s="1">
        <v>0.996299</v>
      </c>
      <c r="G373" s="1">
        <v>0.997800449</v>
      </c>
      <c r="Q373" s="1" t="s">
        <v>17</v>
      </c>
    </row>
    <row r="374" spans="1:17">
      <c r="A374" s="1">
        <v>372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Q374" s="1" t="s">
        <v>17</v>
      </c>
    </row>
    <row r="375" spans="1:17">
      <c r="A375" s="1">
        <v>373</v>
      </c>
      <c r="B375" s="1">
        <v>0.625143</v>
      </c>
      <c r="C375" s="1">
        <v>0.652337</v>
      </c>
      <c r="D375" s="1">
        <v>0.763184</v>
      </c>
      <c r="E375" s="1">
        <v>0.784219</v>
      </c>
      <c r="F375" s="1">
        <v>0.977934</v>
      </c>
      <c r="G375" s="1">
        <v>0.985695988</v>
      </c>
      <c r="Q375" s="1" t="s">
        <v>17</v>
      </c>
    </row>
    <row r="376" spans="1:17">
      <c r="A376" s="1">
        <v>374</v>
      </c>
      <c r="B376" s="1">
        <v>0.692836</v>
      </c>
      <c r="C376" s="1">
        <v>0.709904</v>
      </c>
      <c r="D376" s="1">
        <v>0.814031</v>
      </c>
      <c r="E376" s="1">
        <v>0.823306</v>
      </c>
      <c r="F376" s="1">
        <v>0.978806</v>
      </c>
      <c r="G376" s="1">
        <v>0.982501794</v>
      </c>
      <c r="Q376" s="1" t="s">
        <v>17</v>
      </c>
    </row>
    <row r="377" spans="1:17">
      <c r="A377" s="1">
        <v>375</v>
      </c>
      <c r="B377" s="1">
        <v>0.625455</v>
      </c>
      <c r="C377" s="1">
        <v>0.642012</v>
      </c>
      <c r="D377" s="1">
        <v>0.757573</v>
      </c>
      <c r="E377" s="1">
        <v>0.770548</v>
      </c>
      <c r="F377" s="1">
        <v>0.928675</v>
      </c>
      <c r="G377" s="1">
        <v>0.940118274</v>
      </c>
      <c r="Q377" s="1" t="s">
        <v>17</v>
      </c>
    </row>
    <row r="378" spans="1:17">
      <c r="A378" s="1">
        <v>376</v>
      </c>
      <c r="B378" s="1">
        <v>0.635311</v>
      </c>
      <c r="C378" s="1">
        <v>0.650288</v>
      </c>
      <c r="D378" s="1">
        <v>0.772522</v>
      </c>
      <c r="E378" s="1">
        <v>0.783833</v>
      </c>
      <c r="F378" s="1">
        <v>0.963776</v>
      </c>
      <c r="G378" s="1">
        <v>0.971963604</v>
      </c>
      <c r="Q378" s="1" t="s">
        <v>17</v>
      </c>
    </row>
    <row r="379" spans="1:17">
      <c r="A379" s="1">
        <v>377</v>
      </c>
      <c r="B379" s="1">
        <v>0.585842</v>
      </c>
      <c r="C379" s="1">
        <v>0.608124</v>
      </c>
      <c r="D379" s="1">
        <v>0.715503</v>
      </c>
      <c r="E379" s="1">
        <v>0.735677</v>
      </c>
      <c r="F379" s="1">
        <v>0.830667</v>
      </c>
      <c r="G379" s="1">
        <v>0.84863643</v>
      </c>
      <c r="Q379" s="1" t="s">
        <v>17</v>
      </c>
    </row>
    <row r="380" spans="1:17">
      <c r="A380" s="1">
        <v>378</v>
      </c>
      <c r="B380" s="1">
        <v>0.617071</v>
      </c>
      <c r="C380" s="1">
        <v>0.632035</v>
      </c>
      <c r="D380" s="1">
        <v>0.751208</v>
      </c>
      <c r="E380" s="1">
        <v>0.763664</v>
      </c>
      <c r="F380" s="1">
        <v>0.920597</v>
      </c>
      <c r="G380" s="1">
        <v>0.931993788</v>
      </c>
      <c r="Q380" s="1" t="s">
        <v>17</v>
      </c>
    </row>
    <row r="381" spans="1:17">
      <c r="A381" s="1">
        <v>379</v>
      </c>
      <c r="B381" s="1">
        <v>0.572518</v>
      </c>
      <c r="C381" s="1">
        <v>0.600505</v>
      </c>
      <c r="D381" s="1">
        <v>0.703681</v>
      </c>
      <c r="E381" s="1">
        <v>0.729715</v>
      </c>
      <c r="F381" s="1">
        <v>0.70582</v>
      </c>
      <c r="G381" s="1">
        <v>0.726142083</v>
      </c>
      <c r="Q381" s="1" t="s">
        <v>17</v>
      </c>
    </row>
    <row r="382" spans="1:17">
      <c r="A382" s="1">
        <v>380</v>
      </c>
      <c r="B382" s="1">
        <v>0.626294</v>
      </c>
      <c r="C382" s="1">
        <v>0.652176</v>
      </c>
      <c r="D382" s="1">
        <v>0.777578</v>
      </c>
      <c r="E382" s="1">
        <v>0.797712</v>
      </c>
      <c r="F382" s="1">
        <v>0.998917</v>
      </c>
      <c r="G382" s="1">
        <v>0.999717025</v>
      </c>
      <c r="Q382" s="1" t="s">
        <v>17</v>
      </c>
    </row>
    <row r="383" spans="1:17">
      <c r="A383" s="1">
        <v>381</v>
      </c>
      <c r="B383" s="1">
        <v>0.847717</v>
      </c>
      <c r="C383" s="1">
        <v>0.914805</v>
      </c>
      <c r="D383" s="1">
        <v>0.894823</v>
      </c>
      <c r="E383" s="1">
        <v>0.944516</v>
      </c>
      <c r="F383" s="1">
        <v>1.0000000011</v>
      </c>
      <c r="G383" s="1">
        <v>1.0000000006</v>
      </c>
      <c r="Q383" s="1" t="s">
        <v>17</v>
      </c>
    </row>
    <row r="384" spans="1:17">
      <c r="A384" s="1">
        <v>382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Q384" s="1" t="s">
        <v>17</v>
      </c>
    </row>
    <row r="385" spans="1:17">
      <c r="A385" s="1">
        <v>383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Q385" s="1" t="s">
        <v>17</v>
      </c>
    </row>
    <row r="386" spans="1:17">
      <c r="A386" s="1">
        <v>384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Q386" s="1" t="s">
        <v>17</v>
      </c>
    </row>
    <row r="387" spans="1:17">
      <c r="A387" s="1">
        <v>385</v>
      </c>
      <c r="B387" s="1">
        <v>0.713937</v>
      </c>
      <c r="C387" s="1">
        <v>0.744041</v>
      </c>
      <c r="D387" s="1">
        <v>0.821644</v>
      </c>
      <c r="E387" s="1">
        <v>0.836662</v>
      </c>
      <c r="F387" s="1">
        <v>1.0000000008</v>
      </c>
      <c r="G387" s="1">
        <v>1</v>
      </c>
      <c r="Q387" s="1" t="s">
        <v>17</v>
      </c>
    </row>
    <row r="388" spans="1:17">
      <c r="A388" s="1">
        <v>386</v>
      </c>
      <c r="B388" s="1">
        <v>0.582361</v>
      </c>
      <c r="C388" s="1">
        <v>0.773549</v>
      </c>
      <c r="D388" s="1">
        <v>0.737944</v>
      </c>
      <c r="E388" s="1">
        <v>0.863566</v>
      </c>
      <c r="F388" s="1">
        <v>0.999235</v>
      </c>
      <c r="G388" s="1">
        <v>1.0000000004</v>
      </c>
      <c r="Q388" s="1" t="s">
        <v>17</v>
      </c>
    </row>
    <row r="389" spans="1:17">
      <c r="A389" s="1">
        <v>387</v>
      </c>
      <c r="B389" s="1">
        <v>0.657218</v>
      </c>
      <c r="C389" s="1">
        <v>0.697377</v>
      </c>
      <c r="D389" s="1">
        <v>0.780255</v>
      </c>
      <c r="E389" s="1">
        <v>0.806524</v>
      </c>
      <c r="F389" s="1">
        <v>0.997254</v>
      </c>
      <c r="G389" s="1">
        <v>0.998974812</v>
      </c>
      <c r="Q389" s="1" t="s">
        <v>17</v>
      </c>
    </row>
    <row r="390" spans="1:17">
      <c r="A390" s="1">
        <v>388</v>
      </c>
      <c r="B390" s="1">
        <v>0.652331</v>
      </c>
      <c r="C390" s="1">
        <v>0.665268</v>
      </c>
      <c r="D390" s="1">
        <v>0.788871</v>
      </c>
      <c r="E390" s="1">
        <v>0.798171</v>
      </c>
      <c r="F390" s="1">
        <v>0.999527</v>
      </c>
      <c r="G390" s="1">
        <v>0.999685848</v>
      </c>
      <c r="Q390" s="1" t="s">
        <v>17</v>
      </c>
    </row>
    <row r="391" spans="1:17">
      <c r="A391" s="1">
        <v>389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Q391" s="1" t="s">
        <v>17</v>
      </c>
    </row>
    <row r="392" spans="1:17">
      <c r="A392" s="1">
        <v>390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Q392" s="1" t="s">
        <v>17</v>
      </c>
    </row>
    <row r="393" spans="1:17">
      <c r="A393" s="1">
        <v>391</v>
      </c>
      <c r="B393" s="1">
        <v>0.689396</v>
      </c>
      <c r="C393" s="1">
        <v>0.721892</v>
      </c>
      <c r="D393" s="1">
        <v>0.822212</v>
      </c>
      <c r="E393" s="1">
        <v>0.838967</v>
      </c>
      <c r="F393" s="1">
        <v>0.981362</v>
      </c>
      <c r="G393" s="1">
        <v>0.986373515</v>
      </c>
      <c r="Q393" s="1" t="s">
        <v>17</v>
      </c>
    </row>
    <row r="394" spans="1:17">
      <c r="A394" s="1">
        <v>392</v>
      </c>
      <c r="B394" s="1">
        <v>0.708063</v>
      </c>
      <c r="C394" s="1">
        <v>0.763243</v>
      </c>
      <c r="D394" s="1">
        <v>0.830665</v>
      </c>
      <c r="E394" s="1">
        <v>0.857387</v>
      </c>
      <c r="F394" s="1">
        <v>0.999538</v>
      </c>
      <c r="G394" s="1">
        <v>1.0000000017</v>
      </c>
      <c r="Q394" s="1" t="s">
        <v>17</v>
      </c>
    </row>
    <row r="395" spans="1:17">
      <c r="A395" s="1">
        <v>393</v>
      </c>
      <c r="B395" s="1">
        <v>0.728676</v>
      </c>
      <c r="C395" s="1">
        <v>0.743138</v>
      </c>
      <c r="D395" s="1">
        <v>0.842158</v>
      </c>
      <c r="E395" s="1">
        <v>0.848788</v>
      </c>
      <c r="F395" s="1">
        <v>1.0000000025</v>
      </c>
      <c r="G395" s="1">
        <v>0.9999999995</v>
      </c>
      <c r="Q395" s="1" t="s">
        <v>17</v>
      </c>
    </row>
    <row r="396" spans="1:17">
      <c r="A396" s="1">
        <v>394</v>
      </c>
      <c r="B396" s="1">
        <v>0</v>
      </c>
      <c r="C396" s="1">
        <v>0</v>
      </c>
      <c r="D396" s="1">
        <v>0.090684</v>
      </c>
      <c r="E396" s="1">
        <v>0.090684</v>
      </c>
      <c r="F396" s="1">
        <v>0.993164</v>
      </c>
      <c r="G396" s="1">
        <v>0.996910076</v>
      </c>
      <c r="Q396" s="1" t="s">
        <v>17</v>
      </c>
    </row>
    <row r="397" spans="1:17">
      <c r="A397" s="1">
        <v>395</v>
      </c>
      <c r="B397" s="1">
        <v>0.667348</v>
      </c>
      <c r="C397" s="1">
        <v>0.683912</v>
      </c>
      <c r="D397" s="1">
        <v>0.808723</v>
      </c>
      <c r="E397" s="1">
        <v>0.819196</v>
      </c>
      <c r="F397" s="1">
        <v>0.996997</v>
      </c>
      <c r="G397" s="1">
        <v>0.998183424</v>
      </c>
      <c r="Q397" s="1" t="s">
        <v>17</v>
      </c>
    </row>
    <row r="398" spans="1:17">
      <c r="A398" s="1">
        <v>396</v>
      </c>
      <c r="B398" s="1">
        <v>0.730555</v>
      </c>
      <c r="C398" s="1">
        <v>0.778265</v>
      </c>
      <c r="D398" s="1">
        <v>0.84027</v>
      </c>
      <c r="E398" s="1">
        <v>0.863292</v>
      </c>
      <c r="F398" s="1">
        <v>0.99923</v>
      </c>
      <c r="G398" s="1">
        <v>0.999999999</v>
      </c>
      <c r="Q398" s="1" t="s">
        <v>17</v>
      </c>
    </row>
    <row r="399" spans="1:17">
      <c r="A399" s="1">
        <v>397</v>
      </c>
      <c r="B399" s="1">
        <v>0.785058</v>
      </c>
      <c r="C399" s="1">
        <v>0.823615</v>
      </c>
      <c r="D399" s="1">
        <v>0.866892</v>
      </c>
      <c r="E399" s="1">
        <v>0.883286</v>
      </c>
      <c r="F399" s="1">
        <v>0.99999885</v>
      </c>
      <c r="G399" s="1">
        <v>0.9999999998</v>
      </c>
      <c r="Q399" s="1" t="s">
        <v>17</v>
      </c>
    </row>
    <row r="400" spans="1:17">
      <c r="A400" s="1">
        <v>398</v>
      </c>
      <c r="B400" s="1">
        <v>0.799842</v>
      </c>
      <c r="C400" s="1">
        <v>0.832965</v>
      </c>
      <c r="D400" s="1">
        <v>0.875627</v>
      </c>
      <c r="E400" s="1">
        <v>0.888776</v>
      </c>
      <c r="F400" s="1">
        <v>0.9999999999</v>
      </c>
      <c r="G400" s="1">
        <v>0.9999999995</v>
      </c>
      <c r="Q400" s="1" t="s">
        <v>17</v>
      </c>
    </row>
    <row r="401" spans="1:17">
      <c r="A401" s="1">
        <v>399</v>
      </c>
      <c r="B401" s="1">
        <v>0.632278</v>
      </c>
      <c r="C401" s="1">
        <v>0.641506</v>
      </c>
      <c r="D401" s="1">
        <v>0.745804</v>
      </c>
      <c r="E401" s="1">
        <v>0.752769</v>
      </c>
      <c r="F401" s="1">
        <v>0.999385</v>
      </c>
      <c r="G401" s="1">
        <v>0.99964016</v>
      </c>
      <c r="Q401" s="1" t="s">
        <v>17</v>
      </c>
    </row>
    <row r="402" spans="1:17">
      <c r="A402" s="1">
        <v>400</v>
      </c>
      <c r="B402" s="1">
        <v>0.799842</v>
      </c>
      <c r="C402" s="1">
        <v>0.82482</v>
      </c>
      <c r="D402" s="1">
        <v>0.875627</v>
      </c>
      <c r="E402" s="1">
        <v>0.885755</v>
      </c>
      <c r="F402" s="1">
        <v>1.0000000001</v>
      </c>
      <c r="G402" s="1">
        <v>0.9999999989</v>
      </c>
      <c r="Q402" s="1" t="s">
        <v>17</v>
      </c>
    </row>
    <row r="403" spans="1:17">
      <c r="A403" s="1">
        <v>401</v>
      </c>
      <c r="B403" s="1">
        <v>0.59481</v>
      </c>
      <c r="C403" s="1">
        <v>0.610953</v>
      </c>
      <c r="D403" s="1">
        <v>0.725444</v>
      </c>
      <c r="E403" s="1">
        <v>0.739499</v>
      </c>
      <c r="F403" s="1">
        <v>0.750389</v>
      </c>
      <c r="G403" s="1">
        <v>0.765216975</v>
      </c>
      <c r="Q403" s="1" t="s">
        <v>17</v>
      </c>
    </row>
    <row r="404" spans="1:17">
      <c r="A404" s="1">
        <v>402</v>
      </c>
      <c r="B404" s="1">
        <v>0.609617</v>
      </c>
      <c r="C404" s="1">
        <v>0.625388</v>
      </c>
      <c r="D404" s="1">
        <v>0.736223</v>
      </c>
      <c r="E404" s="1">
        <v>0.749254</v>
      </c>
      <c r="F404" s="1">
        <v>0.661388</v>
      </c>
      <c r="G404" s="1">
        <v>0.676485199</v>
      </c>
      <c r="Q404" s="1" t="s">
        <v>17</v>
      </c>
    </row>
    <row r="405" spans="1:17">
      <c r="A405" s="1">
        <v>403</v>
      </c>
      <c r="B405" s="1">
        <v>0.559069</v>
      </c>
      <c r="C405" s="1">
        <v>0.587706</v>
      </c>
      <c r="D405" s="1">
        <v>0.679558</v>
      </c>
      <c r="E405" s="1">
        <v>0.706031</v>
      </c>
      <c r="F405" s="1">
        <v>0.71052</v>
      </c>
      <c r="G405" s="1">
        <v>0.731706979</v>
      </c>
      <c r="Q405" s="1" t="s">
        <v>17</v>
      </c>
    </row>
    <row r="406" spans="1:17">
      <c r="A406" s="1">
        <v>404</v>
      </c>
      <c r="B406" s="1">
        <v>0.569197</v>
      </c>
      <c r="C406" s="1">
        <v>0.602256</v>
      </c>
      <c r="D406" s="1">
        <v>0.707453</v>
      </c>
      <c r="E406" s="1">
        <v>0.738174</v>
      </c>
      <c r="F406" s="1">
        <v>0.858485</v>
      </c>
      <c r="G406" s="1">
        <v>0.879107332</v>
      </c>
      <c r="Q406" s="1" t="s">
        <v>17</v>
      </c>
    </row>
    <row r="407" spans="1:17">
      <c r="A407" s="1">
        <v>405</v>
      </c>
      <c r="B407" s="1">
        <v>0.606437</v>
      </c>
      <c r="C407" s="1">
        <v>0.62362</v>
      </c>
      <c r="D407" s="1">
        <v>0.738031</v>
      </c>
      <c r="E407" s="1">
        <v>0.752836</v>
      </c>
      <c r="F407" s="1">
        <v>0.645461</v>
      </c>
      <c r="G407" s="1">
        <v>0.660788248</v>
      </c>
      <c r="Q407" s="1" t="s">
        <v>17</v>
      </c>
    </row>
    <row r="408" spans="1:17">
      <c r="A408" s="1">
        <v>406</v>
      </c>
      <c r="B408" s="1">
        <v>0.504666</v>
      </c>
      <c r="C408" s="1">
        <v>0.554942</v>
      </c>
      <c r="D408" s="1">
        <v>0.629687</v>
      </c>
      <c r="E408" s="1">
        <v>0.680301</v>
      </c>
      <c r="F408" s="1">
        <v>0.605765</v>
      </c>
      <c r="G408" s="1">
        <v>0.640784488</v>
      </c>
      <c r="Q408" s="1" t="s">
        <v>17</v>
      </c>
    </row>
    <row r="409" spans="1:17">
      <c r="A409" s="1">
        <v>407</v>
      </c>
      <c r="B409" s="1">
        <v>0.630126</v>
      </c>
      <c r="C409" s="1">
        <v>0.806708</v>
      </c>
      <c r="D409" s="1">
        <v>0.761962</v>
      </c>
      <c r="E409" s="1">
        <v>0.862286</v>
      </c>
      <c r="F409" s="1">
        <v>0.997714</v>
      </c>
      <c r="G409" s="1">
        <v>1.0000000002</v>
      </c>
      <c r="Q409" s="1" t="s">
        <v>17</v>
      </c>
    </row>
    <row r="410" spans="1:17">
      <c r="A410" s="1">
        <v>408</v>
      </c>
      <c r="B410" s="1">
        <v>0.749933</v>
      </c>
      <c r="C410" s="1">
        <v>0.94512</v>
      </c>
      <c r="D410" s="1">
        <v>0.85171</v>
      </c>
      <c r="E410" s="1">
        <v>0.962497</v>
      </c>
      <c r="F410" s="1">
        <v>0.98096</v>
      </c>
      <c r="G410" s="1">
        <v>0.99804156</v>
      </c>
      <c r="Q410" s="1" t="s">
        <v>17</v>
      </c>
    </row>
    <row r="411" spans="1:17">
      <c r="A411" s="1">
        <v>409</v>
      </c>
      <c r="B411" s="1">
        <v>0.731374</v>
      </c>
      <c r="C411" s="1">
        <v>0.762809</v>
      </c>
      <c r="D411" s="1">
        <v>0.840177</v>
      </c>
      <c r="E411" s="1">
        <v>0.855487</v>
      </c>
      <c r="F411" s="1">
        <v>0.905443</v>
      </c>
      <c r="G411" s="1">
        <v>0.923273589</v>
      </c>
      <c r="Q411" s="1" t="s">
        <v>17</v>
      </c>
    </row>
    <row r="412" spans="1:17">
      <c r="A412" s="1">
        <v>410</v>
      </c>
      <c r="B412" s="1">
        <v>0.608688</v>
      </c>
      <c r="C412" s="1">
        <v>0.661735</v>
      </c>
      <c r="D412" s="1">
        <v>0.737904</v>
      </c>
      <c r="E412" s="1">
        <v>0.779535</v>
      </c>
      <c r="F412" s="1">
        <v>0.963328</v>
      </c>
      <c r="G412" s="1">
        <v>0.980244455</v>
      </c>
      <c r="Q412" s="1" t="s">
        <v>17</v>
      </c>
    </row>
    <row r="413" spans="1:17">
      <c r="A413" s="1">
        <v>411</v>
      </c>
      <c r="B413" s="1">
        <v>0.688189</v>
      </c>
      <c r="C413" s="1">
        <v>0.729992</v>
      </c>
      <c r="D413" s="1">
        <v>0.811617</v>
      </c>
      <c r="E413" s="1">
        <v>0.833378</v>
      </c>
      <c r="F413" s="1">
        <v>0.928374</v>
      </c>
      <c r="G413" s="1">
        <v>0.947494713</v>
      </c>
      <c r="Q413" s="1" t="s">
        <v>17</v>
      </c>
    </row>
    <row r="414" spans="1:17">
      <c r="A414" s="1">
        <v>412</v>
      </c>
      <c r="B414" s="1">
        <v>0.666564</v>
      </c>
      <c r="C414" s="1">
        <v>0.695572</v>
      </c>
      <c r="D414" s="1">
        <v>0.801331</v>
      </c>
      <c r="E414" s="1">
        <v>0.818984</v>
      </c>
      <c r="F414" s="1">
        <v>0.854141</v>
      </c>
      <c r="G414" s="1">
        <v>0.876951689</v>
      </c>
      <c r="Q414" s="1" t="s">
        <v>17</v>
      </c>
    </row>
    <row r="415" spans="1:17">
      <c r="A415" s="1">
        <v>413</v>
      </c>
      <c r="B415" s="1">
        <v>0.663518</v>
      </c>
      <c r="C415" s="1">
        <v>0.71908</v>
      </c>
      <c r="D415" s="1">
        <v>0.797003</v>
      </c>
      <c r="E415" s="1">
        <v>0.829393</v>
      </c>
      <c r="F415" s="1">
        <v>0.873768</v>
      </c>
      <c r="G415" s="1">
        <v>0.912040625</v>
      </c>
      <c r="Q415" s="1" t="s">
        <v>17</v>
      </c>
    </row>
    <row r="416" spans="1:17">
      <c r="A416" s="1">
        <v>414</v>
      </c>
      <c r="B416" s="1">
        <v>0.738988</v>
      </c>
      <c r="C416" s="1">
        <v>0.793748</v>
      </c>
      <c r="D416" s="1">
        <v>0.832057</v>
      </c>
      <c r="E416" s="1">
        <v>0.858929</v>
      </c>
      <c r="F416" s="1">
        <v>0.999406</v>
      </c>
      <c r="G416" s="1">
        <v>0.99988384</v>
      </c>
      <c r="Q416" s="1" t="s">
        <v>17</v>
      </c>
    </row>
    <row r="417" spans="1:17">
      <c r="A417" s="1">
        <v>415</v>
      </c>
      <c r="B417" s="1">
        <v>0.419767</v>
      </c>
      <c r="C417" s="1">
        <v>0.463871</v>
      </c>
      <c r="D417" s="1">
        <v>0.531177</v>
      </c>
      <c r="E417" s="1">
        <v>0.5873</v>
      </c>
      <c r="F417" s="1">
        <v>0.995183</v>
      </c>
      <c r="G417" s="1">
        <v>0.996611884</v>
      </c>
      <c r="Q417" s="1" t="s">
        <v>17</v>
      </c>
    </row>
    <row r="418" spans="1:17">
      <c r="A418" s="1">
        <v>416</v>
      </c>
      <c r="B418" s="1">
        <v>0</v>
      </c>
      <c r="C418" s="1">
        <v>0.583579</v>
      </c>
      <c r="D418" s="1">
        <v>0.090684</v>
      </c>
      <c r="E418" s="1">
        <v>0.739111</v>
      </c>
      <c r="F418" s="1">
        <v>0.997318</v>
      </c>
      <c r="G418" s="1">
        <v>0.9999845712</v>
      </c>
      <c r="Q418" s="1" t="s">
        <v>17</v>
      </c>
    </row>
    <row r="419" spans="1:17">
      <c r="A419" s="1">
        <v>417</v>
      </c>
      <c r="B419" s="1">
        <v>0</v>
      </c>
      <c r="C419" s="1">
        <v>0.092579</v>
      </c>
      <c r="D419" s="1">
        <v>0.080128</v>
      </c>
      <c r="E419" s="1">
        <v>0.1718</v>
      </c>
      <c r="F419" s="1">
        <v>0.990715</v>
      </c>
      <c r="G419" s="1">
        <v>0.993566414</v>
      </c>
      <c r="Q419" s="1" t="s">
        <v>17</v>
      </c>
    </row>
    <row r="420" spans="1:17">
      <c r="A420" s="1">
        <v>418</v>
      </c>
      <c r="B420" s="1">
        <v>0</v>
      </c>
      <c r="C420" s="1">
        <v>0.251947</v>
      </c>
      <c r="D420" s="1">
        <v>0.090684</v>
      </c>
      <c r="E420" s="1">
        <v>0.347149</v>
      </c>
      <c r="F420" s="1">
        <v>0.991127</v>
      </c>
      <c r="G420" s="1">
        <v>0.995997538</v>
      </c>
      <c r="Q420" s="1" t="s">
        <v>17</v>
      </c>
    </row>
    <row r="421" spans="1:17">
      <c r="A421" s="1">
        <v>419</v>
      </c>
      <c r="B421" s="1">
        <v>0.647423</v>
      </c>
      <c r="C421" s="1">
        <v>0.665505</v>
      </c>
      <c r="D421" s="1">
        <v>0.773819</v>
      </c>
      <c r="E421" s="1">
        <v>0.78671</v>
      </c>
      <c r="F421" s="1">
        <v>0.935057</v>
      </c>
      <c r="G421" s="1">
        <v>0.94656344</v>
      </c>
      <c r="Q421" s="1" t="s">
        <v>17</v>
      </c>
    </row>
    <row r="422" spans="1:17">
      <c r="A422" s="1">
        <v>420</v>
      </c>
      <c r="B422" s="1">
        <v>0.574652</v>
      </c>
      <c r="C422" s="1">
        <v>0.586422</v>
      </c>
      <c r="D422" s="1">
        <v>0.701705</v>
      </c>
      <c r="E422" s="1">
        <v>0.712801</v>
      </c>
      <c r="F422" s="1">
        <v>0.645442</v>
      </c>
      <c r="G422" s="1">
        <v>0.655006714</v>
      </c>
      <c r="Q422" s="1" t="s">
        <v>17</v>
      </c>
    </row>
    <row r="423" spans="1:17">
      <c r="A423" s="1">
        <v>421</v>
      </c>
      <c r="B423" s="1">
        <v>0.799843</v>
      </c>
      <c r="C423" s="1">
        <v>0.978883</v>
      </c>
      <c r="D423" s="1">
        <v>0.875627</v>
      </c>
      <c r="E423" s="1">
        <v>0.98395</v>
      </c>
      <c r="F423" s="1">
        <v>0.9999999998</v>
      </c>
      <c r="G423" s="1">
        <v>1.0000000001</v>
      </c>
      <c r="Q423" s="1" t="s">
        <v>17</v>
      </c>
    </row>
    <row r="424" spans="1:17">
      <c r="A424" s="1">
        <v>422</v>
      </c>
      <c r="B424" s="1">
        <v>0.622259</v>
      </c>
      <c r="C424" s="1">
        <v>0.6986</v>
      </c>
      <c r="D424" s="1">
        <v>0.750525</v>
      </c>
      <c r="E424" s="1">
        <v>0.804418</v>
      </c>
      <c r="F424" s="1">
        <v>0.999286</v>
      </c>
      <c r="G424" s="1">
        <v>0.9999073918</v>
      </c>
      <c r="Q424" s="1" t="s">
        <v>17</v>
      </c>
    </row>
    <row r="425" spans="1:17">
      <c r="A425" s="1">
        <v>423</v>
      </c>
      <c r="B425" s="1">
        <v>0.531259</v>
      </c>
      <c r="C425" s="1">
        <v>0.563959</v>
      </c>
      <c r="D425" s="1">
        <v>0.652141</v>
      </c>
      <c r="E425" s="1">
        <v>0.684144</v>
      </c>
      <c r="F425" s="1">
        <v>0.709024</v>
      </c>
      <c r="G425" s="1">
        <v>0.731845032</v>
      </c>
      <c r="Q425" s="1" t="s">
        <v>17</v>
      </c>
    </row>
    <row r="426" spans="1:17">
      <c r="A426" s="1">
        <v>424</v>
      </c>
      <c r="B426" s="1">
        <v>0.508041</v>
      </c>
      <c r="C426" s="1">
        <v>0.540304</v>
      </c>
      <c r="D426" s="1">
        <v>0.63179</v>
      </c>
      <c r="E426" s="1">
        <v>0.664509</v>
      </c>
      <c r="F426" s="1">
        <v>0.577272</v>
      </c>
      <c r="G426" s="1">
        <v>0.602991929</v>
      </c>
      <c r="Q426" s="1" t="s">
        <v>17</v>
      </c>
    </row>
    <row r="427" spans="1:17">
      <c r="A427" s="1">
        <v>425</v>
      </c>
      <c r="B427" s="1">
        <v>0.591725</v>
      </c>
      <c r="C427" s="1">
        <v>0.610406</v>
      </c>
      <c r="D427" s="1">
        <v>0.719718</v>
      </c>
      <c r="E427" s="1">
        <v>0.736443</v>
      </c>
      <c r="F427" s="1">
        <v>0.670289</v>
      </c>
      <c r="G427" s="1">
        <v>0.685906602</v>
      </c>
      <c r="Q427" s="1" t="s">
        <v>17</v>
      </c>
    </row>
    <row r="428" spans="1:17">
      <c r="A428" s="1">
        <v>426</v>
      </c>
      <c r="B428" s="1">
        <v>0.641458</v>
      </c>
      <c r="C428" s="1">
        <v>0.656111</v>
      </c>
      <c r="D428" s="1">
        <v>0.774096</v>
      </c>
      <c r="E428" s="1">
        <v>0.784859</v>
      </c>
      <c r="F428" s="1">
        <v>0.764474</v>
      </c>
      <c r="G428" s="1">
        <v>0.778665693</v>
      </c>
      <c r="Q428" s="1" t="s">
        <v>17</v>
      </c>
    </row>
    <row r="429" spans="1:17">
      <c r="A429" s="1">
        <v>427</v>
      </c>
      <c r="B429" s="1">
        <v>0.621618</v>
      </c>
      <c r="C429" s="1">
        <v>0.636682</v>
      </c>
      <c r="D429" s="1">
        <v>0.756212</v>
      </c>
      <c r="E429" s="1">
        <v>0.768008</v>
      </c>
      <c r="F429" s="1">
        <v>0.71141</v>
      </c>
      <c r="G429" s="1">
        <v>0.7260898</v>
      </c>
      <c r="Q429" s="1" t="s">
        <v>17</v>
      </c>
    </row>
    <row r="430" spans="1:17">
      <c r="A430" s="1">
        <v>428</v>
      </c>
      <c r="B430" s="1">
        <v>0.770055</v>
      </c>
      <c r="C430" s="1">
        <v>0.787235</v>
      </c>
      <c r="D430" s="1">
        <v>0.852773</v>
      </c>
      <c r="E430" s="1">
        <v>0.860776</v>
      </c>
      <c r="F430" s="1">
        <v>1.0000000007</v>
      </c>
      <c r="G430" s="1">
        <v>0.9999999994</v>
      </c>
      <c r="Q430" s="1" t="s">
        <v>17</v>
      </c>
    </row>
    <row r="431" spans="1:17">
      <c r="A431" s="1">
        <v>429</v>
      </c>
      <c r="B431" s="1">
        <v>0.456409</v>
      </c>
      <c r="C431" s="1">
        <v>0.487528</v>
      </c>
      <c r="D431" s="1">
        <v>0.600529</v>
      </c>
      <c r="E431" s="1">
        <v>0.636642</v>
      </c>
      <c r="F431" s="1">
        <v>0.98906</v>
      </c>
      <c r="G431" s="1">
        <v>0.991495843</v>
      </c>
      <c r="Q431" s="1" t="s">
        <v>17</v>
      </c>
    </row>
    <row r="432" spans="1:17">
      <c r="A432" s="1">
        <v>430</v>
      </c>
      <c r="B432" s="1">
        <v>0.610282</v>
      </c>
      <c r="C432" s="1">
        <v>0.632346</v>
      </c>
      <c r="D432" s="1">
        <v>0.735996</v>
      </c>
      <c r="E432" s="1">
        <v>0.754251</v>
      </c>
      <c r="F432" s="1">
        <v>0.747768</v>
      </c>
      <c r="G432" s="1">
        <v>0.768758467</v>
      </c>
      <c r="Q432" s="1" t="s">
        <v>17</v>
      </c>
    </row>
    <row r="433" spans="1:17">
      <c r="A433" s="1">
        <v>431</v>
      </c>
      <c r="B433" s="1">
        <v>0.609091</v>
      </c>
      <c r="C433" s="1">
        <v>0.629589</v>
      </c>
      <c r="D433" s="1">
        <v>0.740555</v>
      </c>
      <c r="E433" s="1">
        <v>0.757795</v>
      </c>
      <c r="F433" s="1">
        <v>0.827295</v>
      </c>
      <c r="G433" s="1">
        <v>0.844016198</v>
      </c>
      <c r="Q433" s="1" t="s">
        <v>17</v>
      </c>
    </row>
    <row r="434" spans="1:17">
      <c r="A434" s="1">
        <v>432</v>
      </c>
      <c r="B434" s="1">
        <v>0.604774</v>
      </c>
      <c r="C434" s="1">
        <v>0.627268</v>
      </c>
      <c r="D434" s="1">
        <v>0.727919</v>
      </c>
      <c r="E434" s="1">
        <v>0.746733</v>
      </c>
      <c r="F434" s="1">
        <v>0.707835</v>
      </c>
      <c r="G434" s="1">
        <v>0.728181552</v>
      </c>
      <c r="Q434" s="1" t="s">
        <v>17</v>
      </c>
    </row>
    <row r="435" spans="1:17">
      <c r="A435" s="1">
        <v>433</v>
      </c>
      <c r="B435" s="1">
        <v>0.575268</v>
      </c>
      <c r="C435" s="1">
        <v>0.602829</v>
      </c>
      <c r="D435" s="1">
        <v>0.702151</v>
      </c>
      <c r="E435" s="1">
        <v>0.727348</v>
      </c>
      <c r="F435" s="1">
        <v>0.826361</v>
      </c>
      <c r="G435" s="1">
        <v>0.848976621</v>
      </c>
      <c r="Q435" s="1" t="s">
        <v>17</v>
      </c>
    </row>
    <row r="436" spans="1:17">
      <c r="A436" s="1">
        <v>434</v>
      </c>
      <c r="B436" s="1">
        <v>0.576425</v>
      </c>
      <c r="C436" s="1">
        <v>0.595779</v>
      </c>
      <c r="D436" s="1">
        <v>0.706716</v>
      </c>
      <c r="E436" s="1">
        <v>0.724746</v>
      </c>
      <c r="F436" s="1">
        <v>0.659541</v>
      </c>
      <c r="G436" s="1">
        <v>0.674510119</v>
      </c>
      <c r="Q436" s="1" t="s">
        <v>17</v>
      </c>
    </row>
    <row r="437" spans="1:17">
      <c r="A437" s="1">
        <v>435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Q437" s="1" t="s">
        <v>17</v>
      </c>
    </row>
    <row r="438" spans="1:17">
      <c r="A438" s="1">
        <v>436</v>
      </c>
      <c r="B438" s="1">
        <v>0.798633</v>
      </c>
      <c r="C438" s="1">
        <v>0.847726</v>
      </c>
      <c r="D438" s="1">
        <v>0.875108</v>
      </c>
      <c r="E438" s="1">
        <v>0.894827</v>
      </c>
      <c r="F438" s="1">
        <v>0.999375</v>
      </c>
      <c r="G438" s="1">
        <v>0.9999999985</v>
      </c>
      <c r="Q438" s="1" t="s">
        <v>17</v>
      </c>
    </row>
    <row r="439" spans="1:17">
      <c r="A439" s="1">
        <v>437</v>
      </c>
      <c r="B439" s="1">
        <v>0.810567</v>
      </c>
      <c r="C439" s="1">
        <v>0.888427</v>
      </c>
      <c r="D439" s="1">
        <v>0.880007</v>
      </c>
      <c r="E439" s="1">
        <v>0.923992</v>
      </c>
      <c r="F439" s="1">
        <v>0.9999999975</v>
      </c>
      <c r="G439" s="1">
        <v>0.9999999999</v>
      </c>
      <c r="Q439" s="1" t="s">
        <v>17</v>
      </c>
    </row>
    <row r="440" spans="1:17">
      <c r="A440" s="1">
        <v>438</v>
      </c>
      <c r="B440" s="1">
        <v>0.741659</v>
      </c>
      <c r="C440" s="1">
        <v>0.965296</v>
      </c>
      <c r="D440" s="1">
        <v>0.848153</v>
      </c>
      <c r="E440" s="1">
        <v>0.97416</v>
      </c>
      <c r="F440" s="1">
        <v>0.999731</v>
      </c>
      <c r="G440" s="1">
        <v>1.0000000005</v>
      </c>
      <c r="Q440" s="1" t="s">
        <v>17</v>
      </c>
    </row>
    <row r="441" spans="1:17">
      <c r="A441" s="1">
        <v>439</v>
      </c>
      <c r="B441" s="1">
        <v>0.801687</v>
      </c>
      <c r="C441" s="1">
        <v>0.854884</v>
      </c>
      <c r="D441" s="1">
        <v>0.876408</v>
      </c>
      <c r="E441" s="1">
        <v>0.897879</v>
      </c>
      <c r="F441" s="1">
        <v>0.9999999993</v>
      </c>
      <c r="G441" s="1">
        <v>1.0000000002</v>
      </c>
      <c r="Q441" s="1" t="s">
        <v>17</v>
      </c>
    </row>
    <row r="442" spans="1:17">
      <c r="A442" s="1">
        <v>440</v>
      </c>
      <c r="B442" s="1">
        <v>0.731441</v>
      </c>
      <c r="C442" s="1">
        <v>0.803296</v>
      </c>
      <c r="D442" s="1">
        <v>0.83456</v>
      </c>
      <c r="E442" s="1">
        <v>0.868927</v>
      </c>
      <c r="F442" s="1">
        <v>0.9999999985</v>
      </c>
      <c r="G442" s="1">
        <v>0.9999999992</v>
      </c>
      <c r="Q442" s="1" t="s">
        <v>17</v>
      </c>
    </row>
    <row r="443" spans="1:17">
      <c r="A443" s="1">
        <v>441</v>
      </c>
      <c r="B443" s="1">
        <v>0.601694</v>
      </c>
      <c r="C443" s="1">
        <v>0.617002</v>
      </c>
      <c r="D443" s="1">
        <v>0.733029</v>
      </c>
      <c r="E443" s="1">
        <v>0.746488</v>
      </c>
      <c r="F443" s="1">
        <v>0.710214</v>
      </c>
      <c r="G443" s="1">
        <v>0.72346304</v>
      </c>
      <c r="Q443" s="1" t="s">
        <v>17</v>
      </c>
    </row>
    <row r="444" spans="1:17">
      <c r="A444" s="1">
        <v>442</v>
      </c>
      <c r="B444" s="1">
        <v>0.724437</v>
      </c>
      <c r="C444" s="1">
        <v>0.776343</v>
      </c>
      <c r="D444" s="1">
        <v>0.824885</v>
      </c>
      <c r="E444" s="1">
        <v>0.851197</v>
      </c>
      <c r="F444" s="1">
        <v>0.999069</v>
      </c>
      <c r="G444" s="1">
        <v>0.9999999978</v>
      </c>
      <c r="Q444" s="1" t="s">
        <v>17</v>
      </c>
    </row>
    <row r="445" spans="1:17">
      <c r="A445" s="1">
        <v>443</v>
      </c>
      <c r="B445" s="1">
        <v>0.631638</v>
      </c>
      <c r="C445" s="1">
        <v>0.642761</v>
      </c>
      <c r="D445" s="1">
        <v>0.781966</v>
      </c>
      <c r="E445" s="1">
        <v>0.790669</v>
      </c>
      <c r="F445" s="1">
        <v>0.999667</v>
      </c>
      <c r="G445" s="1">
        <v>0.999778378</v>
      </c>
      <c r="Q445" s="1" t="s">
        <v>17</v>
      </c>
    </row>
    <row r="446" spans="1:17">
      <c r="A446" s="1">
        <v>444</v>
      </c>
      <c r="B446" s="1">
        <v>0.404231</v>
      </c>
      <c r="C446" s="1">
        <v>0.41882</v>
      </c>
      <c r="D446" s="1">
        <v>0.521673</v>
      </c>
      <c r="E446" s="1">
        <v>0.541707</v>
      </c>
      <c r="F446" s="1">
        <v>0.980809</v>
      </c>
      <c r="G446" s="1">
        <v>0.984072052</v>
      </c>
      <c r="Q446" s="1" t="s">
        <v>17</v>
      </c>
    </row>
    <row r="447" spans="1:17">
      <c r="A447" s="1">
        <v>445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Q447" s="1" t="s">
        <v>17</v>
      </c>
    </row>
    <row r="448" spans="1:17">
      <c r="A448" s="1">
        <v>446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Q448" s="1" t="s">
        <v>17</v>
      </c>
    </row>
    <row r="449" spans="1:17">
      <c r="A449" s="1">
        <v>447</v>
      </c>
      <c r="B449" s="1">
        <v>0.606999</v>
      </c>
      <c r="C449" s="1">
        <v>0.930324</v>
      </c>
      <c r="D449" s="1">
        <v>0.760289</v>
      </c>
      <c r="E449" s="1">
        <v>0.954534</v>
      </c>
      <c r="F449" s="1">
        <v>0.99516</v>
      </c>
      <c r="G449" s="1">
        <v>1.0000000004</v>
      </c>
      <c r="Q449" s="1" t="s">
        <v>17</v>
      </c>
    </row>
    <row r="450" spans="1:17">
      <c r="A450" s="1">
        <v>448</v>
      </c>
      <c r="B450" s="1">
        <v>0.617213</v>
      </c>
      <c r="C450" s="1">
        <v>0.637605</v>
      </c>
      <c r="D450" s="1">
        <v>0.756688</v>
      </c>
      <c r="E450" s="1">
        <v>0.773464</v>
      </c>
      <c r="F450" s="1">
        <v>0.895249</v>
      </c>
      <c r="G450" s="1">
        <v>0.909631217</v>
      </c>
      <c r="Q450" s="1" t="s">
        <v>17</v>
      </c>
    </row>
    <row r="451" spans="1:17">
      <c r="A451" s="1">
        <v>449</v>
      </c>
      <c r="B451" s="1">
        <v>0.606351</v>
      </c>
      <c r="C451" s="1">
        <v>0.619538</v>
      </c>
      <c r="D451" s="1">
        <v>0.74606</v>
      </c>
      <c r="E451" s="1">
        <v>0.757591</v>
      </c>
      <c r="F451" s="1">
        <v>0.986356</v>
      </c>
      <c r="G451" s="1">
        <v>0.990607283</v>
      </c>
      <c r="Q451" s="1" t="s">
        <v>17</v>
      </c>
    </row>
    <row r="452" spans="1:17">
      <c r="A452" s="1">
        <v>450</v>
      </c>
      <c r="B452" s="1">
        <v>0.612399</v>
      </c>
      <c r="C452" s="1">
        <v>0.626077</v>
      </c>
      <c r="D452" s="1">
        <v>0.748927</v>
      </c>
      <c r="E452" s="1">
        <v>0.760573</v>
      </c>
      <c r="F452" s="1">
        <v>0.796941</v>
      </c>
      <c r="G452" s="1">
        <v>0.808667272</v>
      </c>
      <c r="Q452" s="1" t="s">
        <v>17</v>
      </c>
    </row>
    <row r="453" spans="1:17">
      <c r="A453" s="1">
        <v>451</v>
      </c>
      <c r="B453" s="1">
        <v>0.582195</v>
      </c>
      <c r="C453" s="1">
        <v>0.599874</v>
      </c>
      <c r="D453" s="1">
        <v>0.714142</v>
      </c>
      <c r="E453" s="1">
        <v>0.730441</v>
      </c>
      <c r="F453" s="1">
        <v>0.854501</v>
      </c>
      <c r="G453" s="1">
        <v>0.865994382</v>
      </c>
      <c r="Q453" s="1" t="s">
        <v>17</v>
      </c>
    </row>
    <row r="454" spans="1:17">
      <c r="A454" s="1">
        <v>452</v>
      </c>
      <c r="B454" s="1">
        <v>0.602249</v>
      </c>
      <c r="C454" s="1">
        <v>0.625477</v>
      </c>
      <c r="D454" s="1">
        <v>0.733023</v>
      </c>
      <c r="E454" s="1">
        <v>0.753137</v>
      </c>
      <c r="F454" s="1">
        <v>0.809864</v>
      </c>
      <c r="G454" s="1">
        <v>0.828583424</v>
      </c>
      <c r="Q454" s="1" t="s">
        <v>17</v>
      </c>
    </row>
    <row r="455" spans="1:17">
      <c r="A455" s="1">
        <v>453</v>
      </c>
      <c r="B455" s="1">
        <v>0.595935</v>
      </c>
      <c r="C455" s="1">
        <v>0.612281</v>
      </c>
      <c r="D455" s="1">
        <v>0.731334</v>
      </c>
      <c r="E455" s="1">
        <v>0.745949</v>
      </c>
      <c r="F455" s="1">
        <v>0.662682</v>
      </c>
      <c r="G455" s="1">
        <v>0.677035608</v>
      </c>
      <c r="Q455" s="1" t="s">
        <v>17</v>
      </c>
    </row>
    <row r="456" spans="1:17">
      <c r="A456" s="1">
        <v>454</v>
      </c>
      <c r="B456" s="1">
        <v>0.643474</v>
      </c>
      <c r="C456" s="1">
        <v>0.655622</v>
      </c>
      <c r="D456" s="1">
        <v>0.773735</v>
      </c>
      <c r="E456" s="1">
        <v>0.782653</v>
      </c>
      <c r="F456" s="1">
        <v>0.989679</v>
      </c>
      <c r="G456" s="1">
        <v>0.991899837</v>
      </c>
      <c r="Q456" s="1" t="s">
        <v>17</v>
      </c>
    </row>
    <row r="457" spans="1:17">
      <c r="A457" s="1">
        <v>455</v>
      </c>
      <c r="B457" s="1">
        <v>0.497608</v>
      </c>
      <c r="C457" s="1">
        <v>0.542875</v>
      </c>
      <c r="D457" s="1">
        <v>0.627788</v>
      </c>
      <c r="E457" s="1">
        <v>0.674475</v>
      </c>
      <c r="F457" s="1">
        <v>0.987806</v>
      </c>
      <c r="G457" s="1">
        <v>0.992476745</v>
      </c>
      <c r="Q457" s="1" t="s">
        <v>17</v>
      </c>
    </row>
    <row r="458" spans="1:17">
      <c r="A458" s="1">
        <v>456</v>
      </c>
      <c r="B458" s="1">
        <v>0.61743</v>
      </c>
      <c r="C458" s="1">
        <v>0.631879</v>
      </c>
      <c r="D458" s="1">
        <v>0.751285</v>
      </c>
      <c r="E458" s="1">
        <v>0.763306</v>
      </c>
      <c r="F458" s="1">
        <v>0.847793</v>
      </c>
      <c r="G458" s="1">
        <v>0.863568579</v>
      </c>
      <c r="Q458" s="1" t="s">
        <v>17</v>
      </c>
    </row>
    <row r="459" spans="1:17">
      <c r="A459" s="1">
        <v>457</v>
      </c>
      <c r="B459" s="1">
        <v>0.605378</v>
      </c>
      <c r="C459" s="1">
        <v>0.621559</v>
      </c>
      <c r="D459" s="1">
        <v>0.745894</v>
      </c>
      <c r="E459" s="1">
        <v>0.760012</v>
      </c>
      <c r="F459" s="1">
        <v>0.664292</v>
      </c>
      <c r="G459" s="1">
        <v>0.678140133</v>
      </c>
      <c r="Q459" s="1" t="s">
        <v>17</v>
      </c>
    </row>
    <row r="460" spans="1:17">
      <c r="A460" s="1">
        <v>458</v>
      </c>
      <c r="B460" s="1">
        <v>0.563418</v>
      </c>
      <c r="C460" s="1">
        <v>0.581905</v>
      </c>
      <c r="D460" s="1">
        <v>0.710944</v>
      </c>
      <c r="E460" s="1">
        <v>0.72889</v>
      </c>
      <c r="F460" s="1">
        <v>0.995668</v>
      </c>
      <c r="G460" s="1">
        <v>0.99710604</v>
      </c>
      <c r="Q460" s="1" t="s">
        <v>17</v>
      </c>
    </row>
    <row r="461" spans="1:17">
      <c r="A461" s="1">
        <v>459</v>
      </c>
      <c r="B461" s="1">
        <v>0.629808</v>
      </c>
      <c r="C461" s="1">
        <v>0.64253</v>
      </c>
      <c r="D461" s="1">
        <v>0.760528</v>
      </c>
      <c r="E461" s="1">
        <v>0.770392</v>
      </c>
      <c r="F461" s="1">
        <v>0.777501</v>
      </c>
      <c r="G461" s="1">
        <v>0.790230355</v>
      </c>
      <c r="Q461" s="1" t="s">
        <v>17</v>
      </c>
    </row>
    <row r="462" spans="1:17">
      <c r="A462" s="1">
        <v>460</v>
      </c>
      <c r="B462" s="1">
        <v>0.597728</v>
      </c>
      <c r="C462" s="1">
        <v>0.613501</v>
      </c>
      <c r="D462" s="1">
        <v>0.732443</v>
      </c>
      <c r="E462" s="1">
        <v>0.746487</v>
      </c>
      <c r="F462" s="1">
        <v>0.732526</v>
      </c>
      <c r="G462" s="1">
        <v>0.745856708</v>
      </c>
      <c r="Q462" s="1" t="s">
        <v>17</v>
      </c>
    </row>
    <row r="463" spans="1:17">
      <c r="A463" s="1">
        <v>461</v>
      </c>
      <c r="B463" s="1">
        <v>0.661496</v>
      </c>
      <c r="C463" s="1">
        <v>0.692686</v>
      </c>
      <c r="D463" s="1">
        <v>0.786433</v>
      </c>
      <c r="E463" s="1">
        <v>0.806839</v>
      </c>
      <c r="F463" s="1">
        <v>0.999549</v>
      </c>
      <c r="G463" s="1">
        <v>0.9999999997</v>
      </c>
      <c r="Q463" s="1" t="s">
        <v>17</v>
      </c>
    </row>
    <row r="464" spans="1:17">
      <c r="A464" s="1">
        <v>462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Q464" s="1" t="s">
        <v>17</v>
      </c>
    </row>
    <row r="465" spans="1:17">
      <c r="A465" s="1">
        <v>463</v>
      </c>
      <c r="B465" s="1">
        <v>0.633599</v>
      </c>
      <c r="C465" s="1">
        <v>0.647862</v>
      </c>
      <c r="D465" s="1">
        <v>0.762885</v>
      </c>
      <c r="E465" s="1">
        <v>0.773701</v>
      </c>
      <c r="F465" s="1">
        <v>0.996982</v>
      </c>
      <c r="G465" s="1">
        <v>0.998840796</v>
      </c>
      <c r="Q465" s="1" t="s">
        <v>17</v>
      </c>
    </row>
    <row r="466" spans="1:17">
      <c r="A466" s="1">
        <v>464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Q466" s="1" t="s">
        <v>17</v>
      </c>
    </row>
    <row r="467" spans="1:17">
      <c r="A467" s="1">
        <v>465</v>
      </c>
      <c r="B467" s="1">
        <v>0.157629</v>
      </c>
      <c r="C467" s="1">
        <v>0.167438</v>
      </c>
      <c r="D467" s="1">
        <v>0.236274</v>
      </c>
      <c r="E467" s="1">
        <v>0.246066</v>
      </c>
      <c r="F467" s="1">
        <v>0.532245</v>
      </c>
      <c r="G467" s="1">
        <v>0.550018064</v>
      </c>
      <c r="Q467" s="1" t="s">
        <v>17</v>
      </c>
    </row>
    <row r="468" spans="1:17">
      <c r="A468" s="1">
        <v>466</v>
      </c>
      <c r="B468" s="1">
        <v>0.685456</v>
      </c>
      <c r="C468" s="1">
        <v>0.719364</v>
      </c>
      <c r="D468" s="1">
        <v>0.822821</v>
      </c>
      <c r="E468" s="1">
        <v>0.840829</v>
      </c>
      <c r="F468" s="1">
        <v>0.997966</v>
      </c>
      <c r="G468" s="1">
        <v>0.999191275</v>
      </c>
      <c r="Q468" s="1" t="s">
        <v>17</v>
      </c>
    </row>
    <row r="469" spans="1:17">
      <c r="A469" s="1">
        <v>467</v>
      </c>
      <c r="B469" s="1">
        <v>0.616121</v>
      </c>
      <c r="C469" s="1">
        <v>0.630196</v>
      </c>
      <c r="D469" s="1">
        <v>0.746947</v>
      </c>
      <c r="E469" s="1">
        <v>0.758739</v>
      </c>
      <c r="F469" s="1">
        <v>0.826948</v>
      </c>
      <c r="G469" s="1">
        <v>0.84043049</v>
      </c>
      <c r="Q469" s="1" t="s">
        <v>17</v>
      </c>
    </row>
    <row r="470" spans="1:17">
      <c r="A470" s="1">
        <v>468</v>
      </c>
      <c r="B470" s="1">
        <v>0.835487</v>
      </c>
      <c r="C470" s="1">
        <v>0.855581</v>
      </c>
      <c r="D470" s="1">
        <v>0.889665</v>
      </c>
      <c r="E470" s="1">
        <v>0.898404</v>
      </c>
      <c r="F470" s="1">
        <v>1.0000000008</v>
      </c>
      <c r="G470" s="1">
        <v>0.9999999998</v>
      </c>
      <c r="Q470" s="1" t="s">
        <v>17</v>
      </c>
    </row>
    <row r="471" spans="1:17">
      <c r="A471" s="1">
        <v>469</v>
      </c>
      <c r="B471" s="1">
        <v>0.747145</v>
      </c>
      <c r="C471" s="1">
        <v>0.808102</v>
      </c>
      <c r="D471" s="1">
        <v>0.839371</v>
      </c>
      <c r="E471" s="1">
        <v>0.867759</v>
      </c>
      <c r="F471" s="1">
        <v>0.993154</v>
      </c>
      <c r="G471" s="1">
        <v>0.997672149</v>
      </c>
      <c r="Q471" s="1" t="s">
        <v>17</v>
      </c>
    </row>
    <row r="472" spans="1:17">
      <c r="A472" s="1">
        <v>470</v>
      </c>
      <c r="B472" s="1">
        <v>0.714895</v>
      </c>
      <c r="C472" s="1">
        <v>0.772883</v>
      </c>
      <c r="D472" s="1">
        <v>0.812797</v>
      </c>
      <c r="E472" s="1">
        <v>0.842957</v>
      </c>
      <c r="F472" s="1">
        <v>0.99366</v>
      </c>
      <c r="G472" s="1">
        <v>0.998005754</v>
      </c>
      <c r="Q472" s="1" t="s">
        <v>17</v>
      </c>
    </row>
    <row r="473" spans="1:17">
      <c r="A473" s="1">
        <v>471</v>
      </c>
      <c r="B473" s="1">
        <v>0.733645</v>
      </c>
      <c r="C473" s="1">
        <v>0.774482</v>
      </c>
      <c r="D473" s="1">
        <v>0.838179</v>
      </c>
      <c r="E473" s="1">
        <v>0.858244</v>
      </c>
      <c r="F473" s="1">
        <v>0.968404</v>
      </c>
      <c r="G473" s="1">
        <v>0.979447979</v>
      </c>
      <c r="Q473" s="1" t="s">
        <v>17</v>
      </c>
    </row>
    <row r="474" spans="1:17">
      <c r="A474" s="1">
        <v>472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Q474" s="1" t="s">
        <v>17</v>
      </c>
    </row>
    <row r="475" spans="1:17">
      <c r="A475" s="1">
        <v>473</v>
      </c>
      <c r="B475" s="1">
        <v>0.638048</v>
      </c>
      <c r="C475" s="1">
        <v>0.668803</v>
      </c>
      <c r="D475" s="1">
        <v>0.769816</v>
      </c>
      <c r="E475" s="1">
        <v>0.792139</v>
      </c>
      <c r="F475" s="1">
        <v>0.780272</v>
      </c>
      <c r="G475" s="1">
        <v>0.809513232</v>
      </c>
      <c r="Q475" s="1" t="s">
        <v>17</v>
      </c>
    </row>
    <row r="476" spans="1:17">
      <c r="A476" s="1">
        <v>474</v>
      </c>
      <c r="B476" s="1">
        <v>0.597153</v>
      </c>
      <c r="C476" s="1">
        <v>0.620302</v>
      </c>
      <c r="D476" s="1">
        <v>0.729815</v>
      </c>
      <c r="E476" s="1">
        <v>0.750029</v>
      </c>
      <c r="F476" s="1">
        <v>0.707785</v>
      </c>
      <c r="G476" s="1">
        <v>0.728219378</v>
      </c>
      <c r="Q476" s="1" t="s">
        <v>17</v>
      </c>
    </row>
    <row r="477" spans="1:17">
      <c r="A477" s="1">
        <v>475</v>
      </c>
      <c r="B477" s="1">
        <v>0.759722</v>
      </c>
      <c r="C477" s="1">
        <v>0.80903</v>
      </c>
      <c r="D477" s="1">
        <v>0.8559</v>
      </c>
      <c r="E477" s="1">
        <v>0.87835</v>
      </c>
      <c r="F477" s="1">
        <v>0.997902</v>
      </c>
      <c r="G477" s="1">
        <v>0.9999760427</v>
      </c>
      <c r="Q477" s="1" t="s">
        <v>17</v>
      </c>
    </row>
    <row r="478" spans="1:17">
      <c r="A478" s="1">
        <v>476</v>
      </c>
      <c r="B478" s="1">
        <v>0.612574</v>
      </c>
      <c r="C478" s="1">
        <v>0.679938</v>
      </c>
      <c r="D478" s="1">
        <v>0.749471</v>
      </c>
      <c r="E478" s="1">
        <v>0.800477</v>
      </c>
      <c r="F478" s="1">
        <v>0.999175</v>
      </c>
      <c r="G478" s="1">
        <v>1.0000000016</v>
      </c>
      <c r="Q478" s="1" t="s">
        <v>17</v>
      </c>
    </row>
    <row r="479" spans="1:17">
      <c r="A479" s="1">
        <v>477</v>
      </c>
      <c r="B479" s="1">
        <v>0.80209</v>
      </c>
      <c r="C479" s="1">
        <v>0.862114</v>
      </c>
      <c r="D479" s="1">
        <v>0.876577</v>
      </c>
      <c r="E479" s="1">
        <v>0.903277</v>
      </c>
      <c r="F479" s="1">
        <v>0.9999801</v>
      </c>
      <c r="G479" s="1">
        <v>0.9999999996</v>
      </c>
      <c r="Q479" s="1" t="s">
        <v>17</v>
      </c>
    </row>
    <row r="480" spans="1:17">
      <c r="A480" s="1">
        <v>478</v>
      </c>
      <c r="B480" s="1">
        <v>0.651774</v>
      </c>
      <c r="C480" s="1">
        <v>0.665139</v>
      </c>
      <c r="D480" s="1">
        <v>0.788798</v>
      </c>
      <c r="E480" s="1">
        <v>0.798422</v>
      </c>
      <c r="F480" s="1">
        <v>0.96662</v>
      </c>
      <c r="G480" s="1">
        <v>0.971750335</v>
      </c>
      <c r="Q480" s="1" t="s">
        <v>17</v>
      </c>
    </row>
    <row r="481" spans="1:17">
      <c r="A481" s="1">
        <v>479</v>
      </c>
      <c r="B481" s="1">
        <v>0.634761</v>
      </c>
      <c r="C481" s="1">
        <v>0.648368</v>
      </c>
      <c r="D481" s="1">
        <v>0.772813</v>
      </c>
      <c r="E481" s="1">
        <v>0.783116</v>
      </c>
      <c r="F481" s="1">
        <v>0.740026</v>
      </c>
      <c r="G481" s="1">
        <v>0.752918107</v>
      </c>
      <c r="Q481" s="1" t="s">
        <v>17</v>
      </c>
    </row>
    <row r="482" spans="1:17">
      <c r="A482" s="1">
        <v>480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Q482" s="1" t="s">
        <v>17</v>
      </c>
    </row>
    <row r="483" spans="1:17">
      <c r="A483" s="1">
        <v>481</v>
      </c>
      <c r="B483" s="1">
        <v>0.80309</v>
      </c>
      <c r="C483" s="1">
        <v>0.860755</v>
      </c>
      <c r="D483" s="1">
        <v>0.874908</v>
      </c>
      <c r="E483" s="1">
        <v>0.902103</v>
      </c>
      <c r="F483" s="1">
        <v>0.947772</v>
      </c>
      <c r="G483" s="1">
        <v>0.974162401</v>
      </c>
      <c r="Q483" s="1" t="s">
        <v>17</v>
      </c>
    </row>
    <row r="484" spans="1:17">
      <c r="A484" s="1">
        <v>482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Q484" s="1" t="s">
        <v>17</v>
      </c>
    </row>
    <row r="485" spans="1:17">
      <c r="A485" s="1">
        <v>483</v>
      </c>
      <c r="B485" s="1">
        <v>0.645969</v>
      </c>
      <c r="C485" s="1">
        <v>0.666757</v>
      </c>
      <c r="D485" s="1">
        <v>0.789031</v>
      </c>
      <c r="E485" s="1">
        <v>0.804198</v>
      </c>
      <c r="F485" s="1">
        <v>0.804145</v>
      </c>
      <c r="G485" s="1">
        <v>0.821255158</v>
      </c>
      <c r="Q485" s="1" t="s">
        <v>17</v>
      </c>
    </row>
    <row r="486" spans="1:17">
      <c r="A486" s="1">
        <v>484</v>
      </c>
      <c r="B486" s="1">
        <v>0.601221</v>
      </c>
      <c r="C486" s="1">
        <v>0.617966</v>
      </c>
      <c r="D486" s="1">
        <v>0.72873</v>
      </c>
      <c r="E486" s="1">
        <v>0.743264</v>
      </c>
      <c r="F486" s="1">
        <v>0.648331</v>
      </c>
      <c r="G486" s="1">
        <v>0.663387523</v>
      </c>
      <c r="Q486" s="1" t="s">
        <v>17</v>
      </c>
    </row>
    <row r="487" spans="1:17">
      <c r="A487" s="1">
        <v>485</v>
      </c>
      <c r="B487" s="1">
        <v>0.561884</v>
      </c>
      <c r="C487" s="1">
        <v>0.583512</v>
      </c>
      <c r="D487" s="1">
        <v>0.689391</v>
      </c>
      <c r="E487" s="1">
        <v>0.709999</v>
      </c>
      <c r="F487" s="1">
        <v>0.643444</v>
      </c>
      <c r="G487" s="1">
        <v>0.659636877</v>
      </c>
      <c r="Q487" s="1" t="s">
        <v>17</v>
      </c>
    </row>
    <row r="488" spans="1:17">
      <c r="A488" s="1">
        <v>486</v>
      </c>
      <c r="B488" s="1">
        <v>0.520701</v>
      </c>
      <c r="C488" s="1">
        <v>0.56346</v>
      </c>
      <c r="D488" s="1">
        <v>0.658954</v>
      </c>
      <c r="E488" s="1">
        <v>0.701623</v>
      </c>
      <c r="F488" s="1">
        <v>0.835657</v>
      </c>
      <c r="G488" s="1">
        <v>0.854703241</v>
      </c>
      <c r="Q488" s="1" t="s">
        <v>17</v>
      </c>
    </row>
    <row r="489" spans="1:17">
      <c r="A489" s="1">
        <v>487</v>
      </c>
      <c r="B489" s="1">
        <v>0.533056</v>
      </c>
      <c r="C489" s="1">
        <v>0.56691</v>
      </c>
      <c r="D489" s="1">
        <v>0.653701</v>
      </c>
      <c r="E489" s="1">
        <v>0.686843</v>
      </c>
      <c r="F489" s="1">
        <v>0.748802</v>
      </c>
      <c r="G489" s="1">
        <v>0.77226441</v>
      </c>
      <c r="Q489" s="1" t="s">
        <v>17</v>
      </c>
    </row>
    <row r="490" spans="1:17">
      <c r="A490" s="1">
        <v>488</v>
      </c>
      <c r="B490" s="1">
        <v>0.49531</v>
      </c>
      <c r="C490" s="1">
        <v>0.537147</v>
      </c>
      <c r="D490" s="1">
        <v>0.613698</v>
      </c>
      <c r="E490" s="1">
        <v>0.656296</v>
      </c>
      <c r="F490" s="1">
        <v>0.590136</v>
      </c>
      <c r="G490" s="1">
        <v>0.622038541</v>
      </c>
      <c r="Q490" s="1" t="s">
        <v>17</v>
      </c>
    </row>
    <row r="491" spans="1:17">
      <c r="A491" s="1">
        <v>489</v>
      </c>
      <c r="B491" s="1">
        <v>0.51298</v>
      </c>
      <c r="C491" s="1">
        <v>0.543396</v>
      </c>
      <c r="D491" s="1">
        <v>0.635585</v>
      </c>
      <c r="E491" s="1">
        <v>0.665707</v>
      </c>
      <c r="F491" s="1">
        <v>0.564172</v>
      </c>
      <c r="G491" s="1">
        <v>0.590298576</v>
      </c>
      <c r="Q491" s="1" t="s">
        <v>17</v>
      </c>
    </row>
    <row r="492" spans="1:17">
      <c r="A492" s="1">
        <v>490</v>
      </c>
      <c r="B492" s="1">
        <v>0.585976</v>
      </c>
      <c r="C492" s="1">
        <v>0.598641</v>
      </c>
      <c r="D492" s="1">
        <v>0.713561</v>
      </c>
      <c r="E492" s="1">
        <v>0.724807</v>
      </c>
      <c r="F492" s="1">
        <v>0.65011</v>
      </c>
      <c r="G492" s="1">
        <v>0.661590504</v>
      </c>
      <c r="Q492" s="1" t="s">
        <v>17</v>
      </c>
    </row>
  </sheetData>
  <sortState ref="Q1:Q492">
    <sortCondition ref="Q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╭ 一曲倾城歌_〞</cp:lastModifiedBy>
  <dcterms:created xsi:type="dcterms:W3CDTF">2025-05-14T07:54:00Z</dcterms:created>
  <dcterms:modified xsi:type="dcterms:W3CDTF">2025-06-13T01:49:12Z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